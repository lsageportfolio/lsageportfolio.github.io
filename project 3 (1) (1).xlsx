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ksuprod-my.sharepoint.com/personal/lsage_kent_edu/Documents/"/>
    </mc:Choice>
  </mc:AlternateContent>
  <xr:revisionPtr revIDLastSave="0" documentId="8_{00F02124-3D5D-4FB6-B209-5D76DBA9AB67}" xr6:coauthVersionLast="47" xr6:coauthVersionMax="47" xr10:uidLastSave="{00000000-0000-0000-0000-000000000000}"/>
  <bookViews>
    <workbookView xWindow="-90" yWindow="0" windowWidth="9780" windowHeight="10170" xr2:uid="{16C251A2-B1FF-4ED0-B044-12FB8871FF8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C8" i="1"/>
</calcChain>
</file>

<file path=xl/sharedStrings.xml><?xml version="1.0" encoding="utf-8"?>
<sst xmlns="http://schemas.openxmlformats.org/spreadsheetml/2006/main" count="33" uniqueCount="32">
  <si>
    <t>Bond Downgrading Case</t>
  </si>
  <si>
    <t>Bond Upgrading Case</t>
  </si>
  <si>
    <t>Field</t>
  </si>
  <si>
    <t>BEVG/CORP</t>
  </si>
  <si>
    <t>TOBC/CORP</t>
  </si>
  <si>
    <t>Company Name</t>
  </si>
  <si>
    <t>ANHEUSER-BUSCH COS LLC / ANHEUSER-BUSCH INBEV WORLDWIDE INC</t>
  </si>
  <si>
    <t xml:space="preserve"> PHILIP MORRIS INTL INC</t>
  </si>
  <si>
    <t>Symbol/Ticker</t>
  </si>
  <si>
    <t>BUD4835362</t>
  </si>
  <si>
    <t>PM5540934</t>
  </si>
  <si>
    <t>Callable?</t>
  </si>
  <si>
    <t>Yes</t>
  </si>
  <si>
    <t>Maturity Date</t>
  </si>
  <si>
    <t>Date and Time (Now)</t>
  </si>
  <si>
    <t>Years to Maturity</t>
  </si>
  <si>
    <t>Rating Before Change</t>
  </si>
  <si>
    <t>Price: $128.1625 Yield: 3.1925%</t>
  </si>
  <si>
    <t>Price: $95.8588 Yield: 5.97%</t>
  </si>
  <si>
    <t>Rating After Change</t>
  </si>
  <si>
    <t>Price: $85.6342 Yield: 6.056%</t>
  </si>
  <si>
    <t>Price: $101.186 Yield: 4.54755%</t>
  </si>
  <si>
    <t>Coupn Rate (%)</t>
  </si>
  <si>
    <t>Last Trade Price</t>
  </si>
  <si>
    <t>Last Trade Date</t>
  </si>
  <si>
    <t>Reason For Rating Change</t>
  </si>
  <si>
    <t>1. In May 2023, HSBC analysts downgraded AB InBev's stock rating amid a consumer boycott of Bud Light. The boycott, stemming from the brand's association with a transgender influencer, led to significant sales declines and raised questions about the company's marketing strategies.</t>
  </si>
  <si>
    <t>1.  Revised the Outlook to Stable from Negative and affirmed the 'A' rating. This action reflected PMI's progress in reducing debt and improving cash flow, aiming for a net debt/EBITDA ratio of 2x by 2026</t>
  </si>
  <si>
    <t>2. Moody's Investors Service downgraded AB InBev's senior unsecured ratings to Baa1 from A3 in December 2018. The agency expressed concerns about the sluggish pace of debt reduction, influenced by foreign currency volatility and underperformance in certain emerging markets. ​</t>
  </si>
  <si>
    <t>2. Revised the Outlook to Negative from Stable and affirmed the 'A' rating. This change was due to slower-than-expected deleveraging following PMI's acquisition of Swedish Match and uncertainties regarding the launch of IQOS ILUMA in the U.S. ​</t>
  </si>
  <si>
    <t>3. Following its acquisition of SABMiller in 2016, AB InBev's debt surged to over $100 billion. Fitch Ratings downgraded the company's Long-Term Issuer Default Rating to 'BBB' in November 2016, citing concerns over the increased leverage resulting from the merger. ​</t>
  </si>
  <si>
    <t>3. Affirmed PMI's Long-Term Issuer Default Rating (IDR) and senior unsecured debt rating at 'A', with the Outlook revised to Stable from Negative. ​
S&amp;P Global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</si>
</sst>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
    <font>
      <sz val="11"/>
      <color theme="1"/>
      <name val="Aptos Narrow"/>
      <family val="2"/>
      <scheme val="minor"/>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0" fontId="0" fillId="0" borderId="0" xfId="0" applyNumberFormat="1"/>
    <xf numFmtId="14" fontId="0" fillId="0" borderId="0" xfId="0" applyNumberFormat="1"/>
    <xf numFmtId="8"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54CA2-FF18-49D4-99E4-E1A931EB108B}">
  <dimension ref="A1:C16"/>
  <sheetViews>
    <sheetView tabSelected="1" workbookViewId="0">
      <selection activeCell="C18" sqref="C18"/>
    </sheetView>
  </sheetViews>
  <sheetFormatPr defaultRowHeight="14.45"/>
  <cols>
    <col min="1" max="1" width="32.7109375" customWidth="1"/>
    <col min="2" max="2" width="64.85546875" customWidth="1"/>
    <col min="3" max="3" width="27.85546875" customWidth="1"/>
  </cols>
  <sheetData>
    <row r="1" spans="1:3">
      <c r="B1" s="1" t="s">
        <v>0</v>
      </c>
      <c r="C1" t="s">
        <v>1</v>
      </c>
    </row>
    <row r="2" spans="1:3">
      <c r="A2" t="s">
        <v>2</v>
      </c>
      <c r="B2" t="s">
        <v>3</v>
      </c>
      <c r="C2" t="s">
        <v>4</v>
      </c>
    </row>
    <row r="3" spans="1:3">
      <c r="A3" t="s">
        <v>5</v>
      </c>
      <c r="B3" t="s">
        <v>6</v>
      </c>
      <c r="C3" t="s">
        <v>7</v>
      </c>
    </row>
    <row r="4" spans="1:3">
      <c r="A4" t="s">
        <v>8</v>
      </c>
      <c r="B4" t="s">
        <v>9</v>
      </c>
      <c r="C4" t="s">
        <v>10</v>
      </c>
    </row>
    <row r="5" spans="1:3">
      <c r="A5" t="s">
        <v>11</v>
      </c>
      <c r="B5" t="s">
        <v>12</v>
      </c>
      <c r="C5" t="s">
        <v>12</v>
      </c>
    </row>
    <row r="6" spans="1:3">
      <c r="A6" t="s">
        <v>13</v>
      </c>
      <c r="B6" s="3">
        <v>53359</v>
      </c>
      <c r="C6" s="3">
        <v>46798</v>
      </c>
    </row>
    <row r="7" spans="1:3">
      <c r="A7" t="s">
        <v>14</v>
      </c>
      <c r="B7" s="5">
        <v>45754.77847222222</v>
      </c>
      <c r="C7" s="5">
        <v>45754.77847222222</v>
      </c>
    </row>
    <row r="8" spans="1:3">
      <c r="A8" t="s">
        <v>15</v>
      </c>
      <c r="B8">
        <f>YEARFRAC(B7,B6)</f>
        <v>20.816666666666666</v>
      </c>
      <c r="C8">
        <f>YEARFRAC(C7,C6)</f>
        <v>2.8555555555555556</v>
      </c>
    </row>
    <row r="9" spans="1:3">
      <c r="A9" t="s">
        <v>16</v>
      </c>
      <c r="B9" t="s">
        <v>17</v>
      </c>
      <c r="C9" t="s">
        <v>18</v>
      </c>
    </row>
    <row r="10" spans="1:3">
      <c r="A10" t="s">
        <v>19</v>
      </c>
      <c r="B10" t="s">
        <v>20</v>
      </c>
      <c r="C10" t="s">
        <v>21</v>
      </c>
    </row>
    <row r="11" spans="1:3">
      <c r="A11" t="s">
        <v>22</v>
      </c>
      <c r="B11" s="2">
        <v>4.9000000000000002E-2</v>
      </c>
      <c r="C11" s="2">
        <v>4.8750000000000002E-2</v>
      </c>
    </row>
    <row r="12" spans="1:3">
      <c r="A12" t="s">
        <v>23</v>
      </c>
      <c r="B12" s="4">
        <v>90.3</v>
      </c>
      <c r="C12" s="4">
        <v>101.69</v>
      </c>
    </row>
    <row r="13" spans="1:3">
      <c r="A13" t="s">
        <v>24</v>
      </c>
      <c r="B13" s="3">
        <v>45749</v>
      </c>
      <c r="C13" s="3">
        <v>45750</v>
      </c>
    </row>
    <row r="14" spans="1:3" ht="19.5" customHeight="1">
      <c r="A14" t="s">
        <v>25</v>
      </c>
      <c r="B14" t="s">
        <v>26</v>
      </c>
      <c r="C14" t="s">
        <v>27</v>
      </c>
    </row>
    <row r="15" spans="1:3" ht="20.100000000000001" customHeight="1">
      <c r="B15" t="s">
        <v>28</v>
      </c>
      <c r="C15" t="s">
        <v>29</v>
      </c>
    </row>
    <row r="16" spans="1:3" ht="15">
      <c r="B16" t="s">
        <v>30</v>
      </c>
      <c r="C16"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5937BB97E5C143960521C7F44B4A85" ma:contentTypeVersion="13" ma:contentTypeDescription="Create a new document." ma:contentTypeScope="" ma:versionID="1856ac9ab5da45b22a557ff4c330f95c">
  <xsd:schema xmlns:xsd="http://www.w3.org/2001/XMLSchema" xmlns:xs="http://www.w3.org/2001/XMLSchema" xmlns:p="http://schemas.microsoft.com/office/2006/metadata/properties" xmlns:ns3="a8f94143-44b4-4c83-b690-2b7178485ce5" xmlns:ns4="f8c0a479-5081-4d06-9222-9419e65ae994" targetNamespace="http://schemas.microsoft.com/office/2006/metadata/properties" ma:root="true" ma:fieldsID="3278ba8879f5040fd5d7b474c0e8e28d" ns3:_="" ns4:_="">
    <xsd:import namespace="a8f94143-44b4-4c83-b690-2b7178485ce5"/>
    <xsd:import namespace="f8c0a479-5081-4d06-9222-9419e65ae994"/>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f94143-44b4-4c83-b690-2b7178485c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c0a479-5081-4d06-9222-9419e65ae99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8f94143-44b4-4c83-b690-2b7178485ce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88C866-5F42-4AF6-96BD-C353192537B6}"/>
</file>

<file path=customXml/itemProps2.xml><?xml version="1.0" encoding="utf-8"?>
<ds:datastoreItem xmlns:ds="http://schemas.openxmlformats.org/officeDocument/2006/customXml" ds:itemID="{E8166707-E177-46AD-95C6-6B63A1B6F62A}"/>
</file>

<file path=customXml/itemProps3.xml><?xml version="1.0" encoding="utf-8"?>
<ds:datastoreItem xmlns:ds="http://schemas.openxmlformats.org/officeDocument/2006/customXml" ds:itemID="{A8446852-627A-4396-8EE8-735D6583F8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Sage, Lauren</dc:creator>
  <cp:keywords/>
  <dc:description/>
  <cp:lastModifiedBy/>
  <cp:revision/>
  <dcterms:created xsi:type="dcterms:W3CDTF">2025-04-07T22:18:39Z</dcterms:created>
  <dcterms:modified xsi:type="dcterms:W3CDTF">2026-10-20T01:30:20Z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0x010100FD5937BB97E5C143960521C7F44B4A85</vt:lpwstr>
  </property>
</Properties>
</file>