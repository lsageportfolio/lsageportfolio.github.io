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ksuprod-my.sharepoint.com/personal/lsage_kent_edu/Documents/Fall 26/Av Fin Model/"/>
    </mc:Choice>
  </mc:AlternateContent>
  <xr:revisionPtr revIDLastSave="0" documentId="8_{83819FD1-C52E-449F-84CA-04A00BC85A94}" xr6:coauthVersionLast="47" xr6:coauthVersionMax="47" xr10:uidLastSave="{00000000-0000-0000-0000-000000000000}"/>
  <bookViews>
    <workbookView xWindow="-120" yWindow="-120" windowWidth="29040" windowHeight="15720" firstSheet="1" activeTab="1" xr2:uid="{6487B70F-DC75-45E9-93CA-FEA78041A0B0}"/>
  </bookViews>
  <sheets>
    <sheet name="Class" sheetId="1" r:id="rId1"/>
    <sheet name="HW" sheetId="2" r:id="rId2"/>
  </sheets>
  <definedNames>
    <definedName name="End.Date">Class!$B$2</definedName>
    <definedName name="End.Date.">HW!$B$2</definedName>
    <definedName name="Start.Date">Class!$B$1</definedName>
    <definedName name="Start.Date.">HW!$B$1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a="1"/>
  <c r="B6" i="2" a="1"/>
  <c r="C6" i="1" a="1"/>
  <c r="B6" i="1" a="1"/>
  <c r="B6" i="2" l="1"/>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7" i="2"/>
  <c r="C6"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7" i="2"/>
  <c r="D33" i="1"/>
  <c r="D61" i="1"/>
  <c r="D34" i="1"/>
  <c r="D62" i="1"/>
  <c r="D35" i="1"/>
  <c r="D63" i="1"/>
  <c r="D8" i="1"/>
  <c r="D36" i="1"/>
  <c r="D64" i="1"/>
  <c r="D9" i="1"/>
  <c r="D37" i="1"/>
  <c r="D65" i="1"/>
  <c r="D10" i="1"/>
  <c r="D38" i="1"/>
  <c r="D11" i="1"/>
  <c r="D39" i="1"/>
  <c r="D12" i="1"/>
  <c r="D40" i="1"/>
  <c r="D13" i="1"/>
  <c r="D41" i="1"/>
  <c r="D14" i="1"/>
  <c r="D42" i="1"/>
  <c r="D15" i="1"/>
  <c r="D43" i="1"/>
  <c r="D16" i="1"/>
  <c r="D44" i="1"/>
  <c r="D17" i="1"/>
  <c r="D45" i="1"/>
  <c r="D18" i="1"/>
  <c r="D46" i="1"/>
  <c r="D19" i="1"/>
  <c r="D47" i="1"/>
  <c r="D20" i="1"/>
  <c r="D48" i="1"/>
  <c r="D21" i="1"/>
  <c r="D49" i="1"/>
  <c r="D22" i="1"/>
  <c r="D50" i="1"/>
  <c r="D23" i="1"/>
  <c r="D51" i="1"/>
  <c r="D24" i="1"/>
  <c r="D55" i="1"/>
  <c r="D56" i="1"/>
  <c r="D57" i="1"/>
  <c r="D58" i="1"/>
  <c r="D59" i="1"/>
  <c r="D60" i="1"/>
  <c r="D25" i="1"/>
  <c r="D26" i="1"/>
  <c r="D27" i="1"/>
  <c r="D28" i="1"/>
  <c r="D29" i="1"/>
  <c r="D30" i="1"/>
  <c r="D31" i="1"/>
  <c r="D32" i="1"/>
  <c r="D52" i="1"/>
  <c r="D53" i="1"/>
  <c r="D54" i="1"/>
  <c r="E8" i="1"/>
  <c r="E36" i="1"/>
  <c r="E64" i="1"/>
  <c r="E9" i="1"/>
  <c r="E37" i="1"/>
  <c r="E65" i="1"/>
  <c r="E10" i="1"/>
  <c r="E38" i="1"/>
  <c r="E11" i="1"/>
  <c r="E39" i="1"/>
  <c r="E12" i="1"/>
  <c r="E40" i="1"/>
  <c r="E13" i="1"/>
  <c r="E41" i="1"/>
  <c r="E14" i="1"/>
  <c r="E42" i="1"/>
  <c r="E15" i="1"/>
  <c r="E43" i="1"/>
  <c r="E16" i="1"/>
  <c r="E44" i="1"/>
  <c r="E17" i="1"/>
  <c r="E45" i="1"/>
  <c r="E18" i="1"/>
  <c r="E46" i="1"/>
  <c r="E19" i="1"/>
  <c r="E47" i="1"/>
  <c r="E20" i="1"/>
  <c r="E48" i="1"/>
  <c r="E21" i="1"/>
  <c r="E49" i="1"/>
  <c r="E22" i="1"/>
  <c r="E50" i="1"/>
  <c r="E23" i="1"/>
  <c r="E51" i="1"/>
  <c r="E24" i="1"/>
  <c r="E52" i="1"/>
  <c r="E25" i="1"/>
  <c r="E53" i="1"/>
  <c r="E26" i="1"/>
  <c r="E54" i="1"/>
  <c r="E27" i="1"/>
  <c r="E55" i="1"/>
  <c r="E28" i="1"/>
  <c r="E29" i="1"/>
  <c r="E30" i="1"/>
  <c r="E31" i="1"/>
  <c r="E32" i="1"/>
  <c r="E33" i="1"/>
  <c r="E34" i="1"/>
  <c r="E35" i="1"/>
  <c r="E56" i="1"/>
  <c r="E57" i="1"/>
  <c r="E58" i="1"/>
  <c r="E59" i="1"/>
  <c r="E60" i="1"/>
  <c r="E61" i="1"/>
  <c r="E62" i="1"/>
  <c r="E63" i="1"/>
  <c r="C6" i="1"/>
  <c r="E7" i="1" s="1"/>
  <c r="B6" i="1"/>
  <c r="D7" i="1" s="1"/>
  <c r="K8" i="2" l="1"/>
  <c r="G4" i="2"/>
  <c r="K3" i="2"/>
  <c r="I3" i="2"/>
  <c r="F4" i="2"/>
  <c r="J3" i="2"/>
  <c r="H3" i="2"/>
  <c r="K7" i="1"/>
  <c r="H3" i="1"/>
  <c r="J3" i="1"/>
  <c r="K3" i="1"/>
  <c r="I3" i="1"/>
  <c r="F4" i="1"/>
  <c r="F7" i="1" s="1"/>
  <c r="G4" i="1"/>
  <c r="G57" i="1" s="1"/>
  <c r="I57" i="1" s="1"/>
  <c r="F8" i="2" l="1"/>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7" i="2"/>
  <c r="G8" i="2"/>
  <c r="I8" i="2" s="1"/>
  <c r="G9" i="2"/>
  <c r="I9" i="2" s="1"/>
  <c r="G10" i="2"/>
  <c r="I10" i="2" s="1"/>
  <c r="G11" i="2"/>
  <c r="I11" i="2" s="1"/>
  <c r="G12" i="2"/>
  <c r="I12" i="2" s="1"/>
  <c r="G13" i="2"/>
  <c r="I13" i="2" s="1"/>
  <c r="G14" i="2"/>
  <c r="I14" i="2" s="1"/>
  <c r="G15" i="2"/>
  <c r="I15" i="2" s="1"/>
  <c r="G16" i="2"/>
  <c r="I16" i="2" s="1"/>
  <c r="G17" i="2"/>
  <c r="I17" i="2" s="1"/>
  <c r="G18" i="2"/>
  <c r="I18" i="2" s="1"/>
  <c r="G19" i="2"/>
  <c r="I19" i="2" s="1"/>
  <c r="G20" i="2"/>
  <c r="I20" i="2" s="1"/>
  <c r="G21" i="2"/>
  <c r="I21" i="2" s="1"/>
  <c r="G22" i="2"/>
  <c r="I22" i="2" s="1"/>
  <c r="G23" i="2"/>
  <c r="I23" i="2" s="1"/>
  <c r="G24" i="2"/>
  <c r="I24" i="2" s="1"/>
  <c r="G25" i="2"/>
  <c r="I25" i="2" s="1"/>
  <c r="G26" i="2"/>
  <c r="I26" i="2" s="1"/>
  <c r="G27" i="2"/>
  <c r="I27" i="2" s="1"/>
  <c r="G28" i="2"/>
  <c r="I28" i="2" s="1"/>
  <c r="G29" i="2"/>
  <c r="I29" i="2" s="1"/>
  <c r="G30" i="2"/>
  <c r="I30" i="2" s="1"/>
  <c r="G31" i="2"/>
  <c r="I31" i="2" s="1"/>
  <c r="G32" i="2"/>
  <c r="I32" i="2" s="1"/>
  <c r="G33" i="2"/>
  <c r="I33" i="2" s="1"/>
  <c r="G34" i="2"/>
  <c r="I34" i="2" s="1"/>
  <c r="G35" i="2"/>
  <c r="I35" i="2" s="1"/>
  <c r="G36" i="2"/>
  <c r="I36" i="2" s="1"/>
  <c r="G37" i="2"/>
  <c r="I37" i="2" s="1"/>
  <c r="G38" i="2"/>
  <c r="I38" i="2" s="1"/>
  <c r="G39" i="2"/>
  <c r="I39" i="2" s="1"/>
  <c r="G40" i="2"/>
  <c r="I40" i="2" s="1"/>
  <c r="G41" i="2"/>
  <c r="I41" i="2" s="1"/>
  <c r="G42" i="2"/>
  <c r="I42" i="2" s="1"/>
  <c r="G43" i="2"/>
  <c r="I43" i="2" s="1"/>
  <c r="G44" i="2"/>
  <c r="I44" i="2" s="1"/>
  <c r="G45" i="2"/>
  <c r="I45" i="2" s="1"/>
  <c r="G46" i="2"/>
  <c r="I46" i="2" s="1"/>
  <c r="G47" i="2"/>
  <c r="I47" i="2" s="1"/>
  <c r="G48" i="2"/>
  <c r="I48" i="2" s="1"/>
  <c r="G49" i="2"/>
  <c r="I49" i="2" s="1"/>
  <c r="G50" i="2"/>
  <c r="I50" i="2" s="1"/>
  <c r="G51" i="2"/>
  <c r="I51" i="2" s="1"/>
  <c r="G52" i="2"/>
  <c r="I52" i="2" s="1"/>
  <c r="G53" i="2"/>
  <c r="I53" i="2" s="1"/>
  <c r="G54" i="2"/>
  <c r="I54" i="2" s="1"/>
  <c r="G55" i="2"/>
  <c r="I55" i="2" s="1"/>
  <c r="G56" i="2"/>
  <c r="I56" i="2" s="1"/>
  <c r="G57" i="2"/>
  <c r="I57" i="2" s="1"/>
  <c r="G58" i="2"/>
  <c r="I58" i="2" s="1"/>
  <c r="G59" i="2"/>
  <c r="I59" i="2" s="1"/>
  <c r="G60" i="2"/>
  <c r="I60" i="2" s="1"/>
  <c r="G61" i="2"/>
  <c r="I61" i="2" s="1"/>
  <c r="G62" i="2"/>
  <c r="I62" i="2" s="1"/>
  <c r="G63" i="2"/>
  <c r="I63" i="2" s="1"/>
  <c r="G64" i="2"/>
  <c r="I64" i="2" s="1"/>
  <c r="G65" i="2"/>
  <c r="I65" i="2" s="1"/>
  <c r="G7" i="2"/>
  <c r="I7" i="2" s="1"/>
  <c r="I4" i="2" s="1"/>
  <c r="K4" i="2" s="1"/>
  <c r="H7" i="1"/>
  <c r="G48" i="1"/>
  <c r="I48" i="1" s="1"/>
  <c r="G61" i="1"/>
  <c r="I61" i="1" s="1"/>
  <c r="G12" i="1"/>
  <c r="I12" i="1" s="1"/>
  <c r="G26" i="1"/>
  <c r="I26" i="1" s="1"/>
  <c r="G8" i="1"/>
  <c r="I8" i="1" s="1"/>
  <c r="G40" i="1"/>
  <c r="I40" i="1" s="1"/>
  <c r="G21" i="1"/>
  <c r="G54" i="1"/>
  <c r="G62" i="1"/>
  <c r="I62" i="1" s="1"/>
  <c r="G13" i="1"/>
  <c r="G36" i="1"/>
  <c r="I36" i="1" s="1"/>
  <c r="G27" i="1"/>
  <c r="G49" i="1"/>
  <c r="I49" i="1" s="1"/>
  <c r="G41" i="1"/>
  <c r="I41" i="1" s="1"/>
  <c r="F63" i="1"/>
  <c r="G63" i="1"/>
  <c r="I63" i="1" s="1"/>
  <c r="G55" i="1"/>
  <c r="I55" i="1" s="1"/>
  <c r="F20" i="1"/>
  <c r="G64" i="1"/>
  <c r="I64" i="1" s="1"/>
  <c r="G14" i="1"/>
  <c r="I14" i="1" s="1"/>
  <c r="F10" i="1"/>
  <c r="G22" i="1"/>
  <c r="I22" i="1" s="1"/>
  <c r="G28" i="1"/>
  <c r="I28" i="1" s="1"/>
  <c r="F51" i="1"/>
  <c r="G42" i="1"/>
  <c r="I42" i="1" s="1"/>
  <c r="G7" i="1"/>
  <c r="I7" i="1" s="1"/>
  <c r="G29" i="1"/>
  <c r="I29" i="1" s="1"/>
  <c r="G9" i="1"/>
  <c r="I9" i="1" s="1"/>
  <c r="G15" i="1"/>
  <c r="I15" i="1" s="1"/>
  <c r="F60" i="1"/>
  <c r="G50" i="1"/>
  <c r="G30" i="1"/>
  <c r="I30" i="1" s="1"/>
  <c r="G43" i="1"/>
  <c r="I43" i="1" s="1"/>
  <c r="G31" i="1"/>
  <c r="I31" i="1" s="1"/>
  <c r="F41" i="1"/>
  <c r="G37" i="1"/>
  <c r="I37" i="1" s="1"/>
  <c r="G16" i="1"/>
  <c r="I16" i="1" s="1"/>
  <c r="F31" i="1"/>
  <c r="G23" i="1"/>
  <c r="G32" i="1"/>
  <c r="G65" i="1"/>
  <c r="I65" i="1" s="1"/>
  <c r="G44" i="1"/>
  <c r="G51" i="1"/>
  <c r="I51" i="1" s="1"/>
  <c r="G33" i="1"/>
  <c r="I33" i="1" s="1"/>
  <c r="F17" i="1"/>
  <c r="G10" i="1"/>
  <c r="I10" i="1" s="1"/>
  <c r="G17" i="1"/>
  <c r="I17" i="1" s="1"/>
  <c r="G24" i="1"/>
  <c r="I24" i="1" s="1"/>
  <c r="G34" i="1"/>
  <c r="I34" i="1" s="1"/>
  <c r="G19" i="1"/>
  <c r="I19" i="1" s="1"/>
  <c r="G38" i="1"/>
  <c r="I38" i="1" s="1"/>
  <c r="G45" i="1"/>
  <c r="I45" i="1" s="1"/>
  <c r="G58" i="1"/>
  <c r="I58" i="1" s="1"/>
  <c r="G52" i="1"/>
  <c r="I52" i="1" s="1"/>
  <c r="G35" i="1"/>
  <c r="I35" i="1" s="1"/>
  <c r="G47" i="1"/>
  <c r="I47" i="1" s="1"/>
  <c r="G11" i="1"/>
  <c r="I11" i="1" s="1"/>
  <c r="G18" i="1"/>
  <c r="I18" i="1" s="1"/>
  <c r="G59" i="1"/>
  <c r="G25" i="1"/>
  <c r="G56" i="1"/>
  <c r="G20" i="1"/>
  <c r="G39" i="1"/>
  <c r="I39" i="1" s="1"/>
  <c r="G46" i="1"/>
  <c r="I46" i="1" s="1"/>
  <c r="G60" i="1"/>
  <c r="I60" i="1" s="1"/>
  <c r="G53" i="1"/>
  <c r="I53" i="1" s="1"/>
  <c r="F38" i="1"/>
  <c r="F25" i="1"/>
  <c r="I20" i="1"/>
  <c r="F48" i="1"/>
  <c r="I13" i="1"/>
  <c r="I44" i="1"/>
  <c r="I59" i="1"/>
  <c r="I27" i="1"/>
  <c r="I32" i="1"/>
  <c r="F61" i="1"/>
  <c r="I23" i="1"/>
  <c r="F11" i="1"/>
  <c r="F42" i="1"/>
  <c r="F18" i="1"/>
  <c r="F36" i="1"/>
  <c r="F56" i="1"/>
  <c r="F27" i="1"/>
  <c r="F53" i="1"/>
  <c r="F21" i="1"/>
  <c r="F39" i="1"/>
  <c r="F15" i="1"/>
  <c r="F34" i="1"/>
  <c r="F64" i="1"/>
  <c r="F57" i="1"/>
  <c r="F28" i="1"/>
  <c r="F46" i="1"/>
  <c r="F54" i="1"/>
  <c r="F22" i="1"/>
  <c r="I21" i="1"/>
  <c r="F12" i="1"/>
  <c r="F43" i="1"/>
  <c r="F58" i="1"/>
  <c r="F29" i="1"/>
  <c r="F62" i="1"/>
  <c r="F37" i="1"/>
  <c r="F19" i="1"/>
  <c r="F50" i="1"/>
  <c r="I56" i="1"/>
  <c r="F40" i="1"/>
  <c r="F16" i="1"/>
  <c r="I25" i="1"/>
  <c r="F59" i="1"/>
  <c r="F30" i="1"/>
  <c r="F65" i="1"/>
  <c r="F35" i="1"/>
  <c r="F23" i="1"/>
  <c r="F47" i="1"/>
  <c r="F13" i="1"/>
  <c r="F44" i="1"/>
  <c r="F32" i="1"/>
  <c r="F49" i="1"/>
  <c r="F24" i="1"/>
  <c r="F33" i="1"/>
  <c r="I50" i="1"/>
  <c r="F45" i="1"/>
  <c r="I54" i="1"/>
  <c r="F14" i="1"/>
  <c r="F52" i="1"/>
  <c r="F8" i="1"/>
  <c r="F55" i="1"/>
  <c r="F26" i="1"/>
  <c r="F9" i="1"/>
  <c r="J7" i="2" l="1"/>
  <c r="H7" i="2"/>
  <c r="H65" i="2"/>
  <c r="J65" i="2"/>
  <c r="H64" i="2"/>
  <c r="J64" i="2"/>
  <c r="H63" i="2"/>
  <c r="J63" i="2"/>
  <c r="H62" i="2"/>
  <c r="J62" i="2"/>
  <c r="H61" i="2"/>
  <c r="J61" i="2"/>
  <c r="H60" i="2"/>
  <c r="J60" i="2"/>
  <c r="H59" i="2"/>
  <c r="J59" i="2"/>
  <c r="H58" i="2"/>
  <c r="J58" i="2"/>
  <c r="H57" i="2"/>
  <c r="J57" i="2"/>
  <c r="H56" i="2"/>
  <c r="J56" i="2"/>
  <c r="H55" i="2"/>
  <c r="J55" i="2"/>
  <c r="H54" i="2"/>
  <c r="J54" i="2"/>
  <c r="H53" i="2"/>
  <c r="J53" i="2"/>
  <c r="H52" i="2"/>
  <c r="J52" i="2"/>
  <c r="H51" i="2"/>
  <c r="J51" i="2"/>
  <c r="H50" i="2"/>
  <c r="J50" i="2"/>
  <c r="H49" i="2"/>
  <c r="J49" i="2"/>
  <c r="H48" i="2"/>
  <c r="J48" i="2"/>
  <c r="H47" i="2"/>
  <c r="J47" i="2"/>
  <c r="H46" i="2"/>
  <c r="J46" i="2"/>
  <c r="H45" i="2"/>
  <c r="J45" i="2"/>
  <c r="H44" i="2"/>
  <c r="J44" i="2"/>
  <c r="H43" i="2"/>
  <c r="J43" i="2"/>
  <c r="H42" i="2"/>
  <c r="J42" i="2"/>
  <c r="H41" i="2"/>
  <c r="J41" i="2"/>
  <c r="H40" i="2"/>
  <c r="J40" i="2"/>
  <c r="H39" i="2"/>
  <c r="J39" i="2"/>
  <c r="H38" i="2"/>
  <c r="J38" i="2"/>
  <c r="H37" i="2"/>
  <c r="J37" i="2"/>
  <c r="H36" i="2"/>
  <c r="J36" i="2"/>
  <c r="H35" i="2"/>
  <c r="J35" i="2"/>
  <c r="H34" i="2"/>
  <c r="J34" i="2"/>
  <c r="H33" i="2"/>
  <c r="J33" i="2"/>
  <c r="H32" i="2"/>
  <c r="J32" i="2"/>
  <c r="H31" i="2"/>
  <c r="J31" i="2"/>
  <c r="H30" i="2"/>
  <c r="J30" i="2"/>
  <c r="H29" i="2"/>
  <c r="J29" i="2"/>
  <c r="H28" i="2"/>
  <c r="J28" i="2"/>
  <c r="H27" i="2"/>
  <c r="J27" i="2"/>
  <c r="H26" i="2"/>
  <c r="J26" i="2"/>
  <c r="H25" i="2"/>
  <c r="J25" i="2"/>
  <c r="H24" i="2"/>
  <c r="J24" i="2"/>
  <c r="H23" i="2"/>
  <c r="J23" i="2"/>
  <c r="H22" i="2"/>
  <c r="J22" i="2"/>
  <c r="H21" i="2"/>
  <c r="J21" i="2"/>
  <c r="H20" i="2"/>
  <c r="J20" i="2"/>
  <c r="H19" i="2"/>
  <c r="J19" i="2"/>
  <c r="H18" i="2"/>
  <c r="J18" i="2"/>
  <c r="H17" i="2"/>
  <c r="J17" i="2"/>
  <c r="H16" i="2"/>
  <c r="J16" i="2"/>
  <c r="H15" i="2"/>
  <c r="J15" i="2"/>
  <c r="H14" i="2"/>
  <c r="J14" i="2"/>
  <c r="H13" i="2"/>
  <c r="J13" i="2"/>
  <c r="H12" i="2"/>
  <c r="J12" i="2"/>
  <c r="H11" i="2"/>
  <c r="J11" i="2"/>
  <c r="H10" i="2"/>
  <c r="J10" i="2"/>
  <c r="H9" i="2"/>
  <c r="J9" i="2"/>
  <c r="H8" i="2"/>
  <c r="J8" i="2"/>
  <c r="K7" i="2" s="1"/>
  <c r="H16" i="1"/>
  <c r="J16" i="1"/>
  <c r="H42" i="1"/>
  <c r="J42" i="1"/>
  <c r="H51" i="1"/>
  <c r="J51" i="1"/>
  <c r="H11" i="1"/>
  <c r="J11" i="1"/>
  <c r="H9" i="1"/>
  <c r="J9" i="1"/>
  <c r="H50" i="1"/>
  <c r="J50" i="1"/>
  <c r="H26" i="1"/>
  <c r="J26" i="1"/>
  <c r="H19" i="1"/>
  <c r="J19" i="1"/>
  <c r="H61" i="1"/>
  <c r="J61" i="1"/>
  <c r="H10" i="1"/>
  <c r="J10" i="1"/>
  <c r="H55" i="1"/>
  <c r="J55" i="1"/>
  <c r="H37" i="1"/>
  <c r="J37" i="1"/>
  <c r="H8" i="1"/>
  <c r="J8" i="1"/>
  <c r="H62" i="1"/>
  <c r="J62" i="1"/>
  <c r="H52" i="1"/>
  <c r="J52" i="1"/>
  <c r="H20" i="1"/>
  <c r="J20" i="1"/>
  <c r="H58" i="1"/>
  <c r="J58" i="1"/>
  <c r="H17" i="1"/>
  <c r="J17" i="1"/>
  <c r="H45" i="1"/>
  <c r="J45" i="1"/>
  <c r="H12" i="1"/>
  <c r="J12" i="1"/>
  <c r="H48" i="1"/>
  <c r="J48" i="1"/>
  <c r="H22" i="1"/>
  <c r="J22" i="1"/>
  <c r="H25" i="1"/>
  <c r="J25" i="1"/>
  <c r="H33" i="1"/>
  <c r="J33" i="1"/>
  <c r="H54" i="1"/>
  <c r="J54" i="1"/>
  <c r="H38" i="1"/>
  <c r="J38" i="1"/>
  <c r="H46" i="1"/>
  <c r="J46" i="1"/>
  <c r="H31" i="1"/>
  <c r="J31" i="1"/>
  <c r="H24" i="1"/>
  <c r="J24" i="1"/>
  <c r="H28" i="1"/>
  <c r="J28" i="1"/>
  <c r="H49" i="1"/>
  <c r="J49" i="1"/>
  <c r="H57" i="1"/>
  <c r="J57" i="1"/>
  <c r="H32" i="1"/>
  <c r="J32" i="1"/>
  <c r="H64" i="1"/>
  <c r="J64" i="1"/>
  <c r="H41" i="1"/>
  <c r="J41" i="1"/>
  <c r="H44" i="1"/>
  <c r="J44" i="1"/>
  <c r="H34" i="1"/>
  <c r="J34" i="1"/>
  <c r="H59" i="1"/>
  <c r="J59" i="1"/>
  <c r="H56" i="1"/>
  <c r="J56" i="1"/>
  <c r="H36" i="1"/>
  <c r="J36" i="1"/>
  <c r="H18" i="1"/>
  <c r="J18" i="1"/>
  <c r="H40" i="1"/>
  <c r="J40" i="1"/>
  <c r="H29" i="1"/>
  <c r="J29" i="1"/>
  <c r="H14" i="1"/>
  <c r="J14" i="1"/>
  <c r="H43" i="1"/>
  <c r="J43" i="1"/>
  <c r="H63" i="1"/>
  <c r="J63" i="1"/>
  <c r="H13" i="1"/>
  <c r="J13" i="1"/>
  <c r="H15" i="1"/>
  <c r="J15" i="1"/>
  <c r="H47" i="1"/>
  <c r="J47" i="1"/>
  <c r="H39" i="1"/>
  <c r="J39" i="1"/>
  <c r="H23" i="1"/>
  <c r="J23" i="1"/>
  <c r="H35" i="1"/>
  <c r="J35" i="1"/>
  <c r="H21" i="1"/>
  <c r="J21" i="1"/>
  <c r="H60" i="1"/>
  <c r="J60" i="1"/>
  <c r="H65" i="1"/>
  <c r="J65" i="1"/>
  <c r="H53" i="1"/>
  <c r="J53" i="1"/>
  <c r="H30" i="1"/>
  <c r="J30" i="1"/>
  <c r="H27" i="1"/>
  <c r="J27" i="1"/>
  <c r="J7" i="1"/>
  <c r="I4" i="1"/>
  <c r="K4" i="1" s="1"/>
  <c r="H4" i="2" l="1"/>
  <c r="J4" i="2" s="1"/>
  <c r="K9" i="2" s="1"/>
  <c r="H4" i="1"/>
  <c r="J4" i="1" s="1"/>
  <c r="K8" i="1" s="1"/>
  <c r="K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0">
    <bk>
      <extLst>
        <ext uri="{3e2802c4-a4d2-4d8b-9148-e3be6c30e623}">
          <xlrd:rvb i="6"/>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2"/>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futureMetadata>
  <cellMetadata count="1">
    <bk>
      <rc t="1" v="0"/>
    </bk>
  </cellMetadata>
  <valueMetadata count="24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valueMetadata>
</metadata>
</file>

<file path=xl/sharedStrings.xml><?xml version="1.0" encoding="utf-8"?>
<sst xmlns="http://schemas.openxmlformats.org/spreadsheetml/2006/main" count="28" uniqueCount="19">
  <si>
    <t>Start Date</t>
  </si>
  <si>
    <t>End Date</t>
  </si>
  <si>
    <t>sqr root of avg</t>
  </si>
  <si>
    <t>IBM</t>
  </si>
  <si>
    <t>KO</t>
  </si>
  <si>
    <t>IBM avg</t>
  </si>
  <si>
    <t>KO avg</t>
  </si>
  <si>
    <t>squared deviations</t>
  </si>
  <si>
    <t>IBM*KO</t>
  </si>
  <si>
    <t>avg</t>
  </si>
  <si>
    <t>cov</t>
  </si>
  <si>
    <t>corr</t>
  </si>
  <si>
    <t>sqr root of average</t>
  </si>
  <si>
    <t xml:space="preserve">MGM </t>
  </si>
  <si>
    <t>DIS</t>
  </si>
  <si>
    <t>MGM</t>
  </si>
  <si>
    <t>MGM avg</t>
  </si>
  <si>
    <t>DIS avg</t>
  </si>
  <si>
    <t>MGM*DIS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</si>
</sst>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2">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14" fontId="0" fillId="0" borderId="0" xfId="0" applyNumberFormat="1" applyAlignment="1">
      <alignment horizontal="right"/>
    </xf>
    <xf numFmtId="9" fontId="0" fillId="0" borderId="0" xfId="1" applyFont="1"/>
    <xf numFmtId="164" fontId="0" fillId="0" borderId="0" xfId="1" applyNumberFormat="1" applyFont="1"/>
    <xf numFmtId="165" fontId="0" fillId="0" borderId="0" xfId="1" applyNumberFormat="1" applyFont="1"/>
    <xf numFmtId="165" fontId="0" fillId="0" borderId="0" xfId="0" applyNumberFormat="1"/>
    <xf numFmtId="166" fontId="0" fillId="0" borderId="0" xfId="1" applyNumberFormat="1" applyFont="1"/>
    <xf numFmtId="166" fontId="0" fillId="0" borderId="0" xfId="0" applyNumberFormat="1"/>
  </cellXfs>
  <cellStyles count="2">
    <cellStyle name="Normal" xfId="0" builtinId="0"/>
    <cellStyle name="Percent" xfId="1"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5">
  <a r="1" c="60">
    <v t="i">1</v>
    <v t="i">2</v>
    <v t="i">5</v>
    <v t="i">6</v>
    <v t="i">7</v>
    <v t="i">9</v>
    <v t="i">12</v>
    <v t="i">13</v>
    <v t="i">14</v>
    <v t="i">15</v>
    <v t="i">16</v>
    <v t="i">20</v>
    <v t="i">21</v>
    <v t="i">22</v>
    <v t="i">23</v>
    <v t="i">26</v>
    <v t="i">27</v>
    <v t="i">28</v>
    <v t="i">29</v>
    <v t="i">30</v>
    <v t="i">33</v>
    <v t="i">34</v>
    <v t="i">35</v>
    <v t="i">36</v>
    <v t="i">37</v>
    <v t="i">40</v>
    <v t="i">41</v>
    <v t="i">42</v>
    <v t="i">43</v>
    <v t="i">44</v>
    <v t="i">48</v>
    <v t="i">49</v>
    <v t="i">50</v>
    <v t="i">51</v>
    <v t="i">54</v>
    <v t="i">55</v>
    <v t="i">56</v>
    <v t="i">57</v>
    <v t="i">58</v>
    <v t="i">61</v>
    <v t="i">62</v>
    <v t="i">63</v>
    <v t="i">64</v>
    <v t="i">65</v>
    <v t="i">68</v>
    <v t="i">69</v>
    <v t="i">70</v>
    <v t="i">71</v>
    <v t="i">72</v>
    <v t="i">75</v>
    <v t="i">76</v>
    <v t="i">77</v>
    <v t="i">78</v>
    <v t="i">79</v>
    <v t="i">82</v>
    <v t="i">83</v>
    <v t="i">84</v>
    <v t="i">85</v>
    <v t="i">86</v>
    <v t="i">89</v>
  </a>
  <a r="1" c="60">
    <v>219.94</v>
    <v>222.65</v>
    <v>222.67</v>
    <v>223.96</v>
    <v>223.18</v>
    <v>219.75</v>
    <v>217.4</v>
    <v>217.75</v>
    <v>220.03</v>
    <v>222.66</v>
    <v>224.79</v>
    <v>224.26</v>
    <v>223.26</v>
    <v>226.04</v>
    <v>224.8</v>
    <v>224.13</v>
    <v>225.66</v>
    <v>228.63</v>
    <v>258.27</v>
    <v>255.7</v>
    <v>260.73</v>
    <v>264.45999999999998</v>
    <v>263.3</v>
    <v>253.44</v>
    <v>252.34</v>
    <v>249.27</v>
    <v>254.7</v>
    <v>255.81</v>
    <v>259.19</v>
    <v>261.27999999999997</v>
    <v>263.07</v>
    <v>264.32</v>
    <v>264.74</v>
    <v>261.48</v>
    <v>261.87</v>
    <v>257.75</v>
    <v>255.84</v>
    <v>253.23</v>
    <v>252.44</v>
    <v>250.19</v>
    <v>253.21</v>
    <v>251.35</v>
    <v>248.69</v>
    <v>261.54000000000002</v>
    <v>256.89999999999998</v>
    <v>248.95</v>
    <v>249.63</v>
    <v>245.8</v>
    <v>248.35</v>
    <v>252.97</v>
    <v>246.95</v>
    <v>252.29</v>
    <v>243.32</v>
    <v>243.87</v>
    <v>248.45</v>
    <v>249.9</v>
    <v>250.34</v>
    <v>246.21</v>
    <v>244</v>
    <v>248.66</v>
  </a>
  <a r="1" c="60">
    <v>33.659999999999997</v>
    <v>34.090000000000003</v>
    <v>33.94</v>
    <v>33.229999999999997</v>
    <v>32.69</v>
    <v>31.87</v>
    <v>32.33</v>
    <v>33.1</v>
    <v>33</v>
    <v>33.130000000000003</v>
    <v>32.85</v>
    <v>33.35</v>
    <v>32.81</v>
    <v>33.119999999999997</v>
    <v>32.89</v>
    <v>33.56</v>
    <v>33.5</v>
    <v>34.01</v>
    <v>34.549999999999997</v>
    <v>34.479999999999997</v>
    <v>34.15</v>
    <v>34.549999999999997</v>
    <v>34.24</v>
    <v>34.479999999999997</v>
    <v>34.57</v>
    <v>34.36</v>
    <v>34.270000000000003</v>
    <v>34.369999999999997</v>
    <v>40.369999999999997</v>
    <v>39.81</v>
    <v>38.07</v>
    <v>38.340000000000003</v>
    <v>38.299999999999997</v>
    <v>36</v>
    <v>36.369999999999997</v>
    <v>35.520000000000003</v>
    <v>35.17</v>
    <v>34.67</v>
    <v>34.76</v>
    <v>33.19</v>
    <v>32.61</v>
    <v>32.83</v>
    <v>31.64</v>
    <v>32.03</v>
    <v>31.89</v>
    <v>31.29</v>
    <v>30.99</v>
    <v>30.16</v>
    <v>31.76</v>
    <v>32.42</v>
    <v>31.86</v>
    <v>32.69</v>
    <v>32.53</v>
    <v>31.42</v>
    <v>32.42</v>
    <v>32.04</v>
    <v>32.119999999999997</v>
    <v>31.61</v>
    <v>30.36</v>
    <v>29.64</v>
  </a>
  <a r="1" c="60">
    <v>61.84</v>
    <v>61.75</v>
    <v>60.81</v>
    <v>60.84</v>
    <v>61.71</v>
    <v>61.07</v>
    <v>61.65</v>
    <v>62.04</v>
    <v>61.77</v>
    <v>62.25</v>
    <v>62.71</v>
    <v>62.42</v>
    <v>61.78</v>
    <v>61.53</v>
    <v>61.92</v>
    <v>63.87</v>
    <v>62.36</v>
    <v>62.83</v>
    <v>64.05</v>
    <v>63.48</v>
    <v>63.35</v>
    <v>62.67</v>
    <v>63.12</v>
    <v>63.36</v>
    <v>63.84</v>
    <v>64.55</v>
    <v>67.599999999999994</v>
    <v>68.709999999999994</v>
    <v>69.5</v>
    <v>68.87</v>
    <v>69.05</v>
    <v>70.069999999999993</v>
    <v>70.040000000000006</v>
    <v>71.349999999999994</v>
    <v>70.59</v>
    <v>71.489999999999995</v>
    <v>70.8</v>
    <v>70.87</v>
    <v>71.209999999999994</v>
    <v>72.319999999999993</v>
    <v>70.19</v>
    <v>70.08</v>
    <v>70.459999999999994</v>
    <v>71.430000000000007</v>
    <v>71.45</v>
    <v>71.040000000000006</v>
    <v>69.94</v>
    <v>69.62</v>
    <v>69.16</v>
    <v>70.12</v>
    <v>69.38</v>
    <v>69.28</v>
    <v>69.709999999999994</v>
    <v>68.67</v>
    <v>68.95</v>
    <v>68.81</v>
    <v>70.02</v>
    <v>70.739999999999995</v>
    <v>70.37</v>
    <v>71.62</v>
  </a>
  <a r="1" c="60">
    <v>110.82</v>
    <v>111.16</v>
    <v>111.05</v>
    <v>111.39</v>
    <v>109.76</v>
    <v>108.65</v>
    <v>108.08</v>
    <v>108.12</v>
    <v>108.18</v>
    <v>106.46</v>
    <v>107.02</v>
    <v>108.7</v>
    <v>108.81</v>
    <v>111.04</v>
    <v>112.16</v>
    <v>113.34</v>
    <v>112.14</v>
    <v>113.19</v>
    <v>113.43</v>
    <v>113.06</v>
    <v>114</v>
    <v>113.3</v>
    <v>110.54</v>
    <v>112.09</v>
    <v>110.86</v>
    <v>109.28</v>
    <v>109.02</v>
    <v>109.23</v>
    <v>109.59</v>
    <v>110.38</v>
    <v>109.56</v>
    <v>111.35</v>
    <v>110.55</v>
    <v>108.66</v>
    <v>111.2</v>
    <v>110.53</v>
    <v>111.83</v>
    <v>111.31</v>
    <v>113.8</v>
    <v>112.79</v>
    <v>109.01</v>
    <v>109.31</v>
    <v>105.43</v>
    <v>105.51</v>
    <v>103.08</v>
    <v>97.9</v>
    <v>98.76</v>
    <v>96.87</v>
    <v>98.64</v>
    <v>99.36</v>
    <v>99.35</v>
    <v>100.29</v>
    <v>98.86</v>
    <v>99.46</v>
    <v>100.18</v>
    <v>101.61</v>
    <v>100.78</v>
    <v>100.45</v>
    <v>98.07</v>
    <v>98.7</v>
  </a>
</arrayData>
</file>

<file path=xl/richData/rdrichvalue.xml><?xml version="1.0" encoding="utf-8"?>
<rvData xmlns="http://schemas.microsoft.com/office/spreadsheetml/2017/richdata" count="259">
  <rv s="0">
    <v>http://en.wikipedia.org/wiki/Public_domain</v>
    <v>Public domain</v>
  </rv>
  <rv s="0">
    <v>http://en.wikipedia.org/wiki/IBM</v>
    <v>Wikipedia</v>
  </rv>
  <rv s="1">
    <v>0</v>
    <v>1</v>
  </rv>
  <rv s="2">
    <v>6</v>
    <v>https://www.bing.com/th?id=AMMS_41da901be1b295dc42c72dadb9c0f67d&amp;qlt=95</v>
    <v>2</v>
    <v>0</v>
    <v>https://www.bing.com/images/search?form=xlimg&amp;q=ibm</v>
    <v>Image of INTERNATIONAL BUSINESS MACHINES CORPORATION</v>
  </rv>
  <rv s="0">
    <v>https://www.bing.com/financeapi/forcetrigger?t=a1v6nm&amp;q=XNYS%3aIBM&amp;form=skydnc</v>
    <v>Learn more on Bing</v>
  </rv>
  <rv s="3">
    <v>en-US</v>
    <v>a1v6nm</v>
    <v>268435456</v>
    <v>1</v>
    <v>Powered by Refinitiv</v>
    <v>0</v>
    <v>INTERNATIONAL BUSINESS MACHINES CORPORATION (XNYS:IBM)</v>
    <v>3</v>
    <v>4</v>
    <v>Finance</v>
    <v>5</v>
    <v>332.46</v>
    <v>199.19</v>
    <v>0.79459999999999997</v>
    <v>6.07</v>
    <v>-4.8980000000000004E-3</v>
    <v>2.7526999999999999E-2</v>
    <v>-1.1100000000000001</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227.30500000000001</v>
    <v>3</v>
    <v>Software &amp; IT Services</v>
    <v>Stock</v>
    <v>46303.872556515627</v>
    <v>4</v>
    <v>217.79499999999999</v>
    <v>213468812352</v>
    <v>INTERNATIONAL BUSINESS MACHINES CORPORATION</v>
    <v>INTERNATIONAL BUSINESS MACHINES CORPORATION</v>
    <v>220.15</v>
    <v>18.195399999999999</v>
    <v>220.51</v>
    <v>226.58</v>
    <v>225.5</v>
    <v>942134400</v>
    <v>IBM</v>
    <v>INTERNATIONAL BUSINESS MACHINES CORPORATION (XNYS:IBM)</v>
    <v>8908484</v>
    <v>5671545</v>
    <v>1911</v>
  </rv>
  <rv s="4">
    <v>5</v>
  </rv>
  <rv s="0">
    <v>https://www.bing.com/financeapi/forcetrigger?t=a1wljc&amp;q=XNYS%3aKO&amp;form=skydnc</v>
    <v>Learn more on Bing</v>
  </rv>
  <rv s="5">
    <v>en-US</v>
    <v>a1wljc</v>
    <v>268435456</v>
    <v>1</v>
    <v>Powered by Refinitiv</v>
    <v>7</v>
    <v>THE COCA-COLA COMPANY (XNYS:KO)</v>
    <v>8</v>
    <v>9</v>
    <v>Finance</v>
    <v>5</v>
    <v>92.49</v>
    <v>66</v>
    <v>0.29389999999999999</v>
    <v>1.94</v>
    <v>1.139E-4</v>
    <v>2.2605E-2</v>
    <v>0.01</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88.034999999999997</v>
    <v>Beverages</v>
    <v>Stock</v>
    <v>46303.873242187503</v>
    <v>7</v>
    <v>86.08</v>
    <v>377591700240</v>
    <v>THE COCA-COLA COMPANY</v>
    <v>THE COCA-COLA COMPANY</v>
    <v>86.26</v>
    <v>26.438500000000001</v>
    <v>85.82</v>
    <v>87.76</v>
    <v>87.78</v>
    <v>4302549000</v>
    <v>KO</v>
    <v>THE COCA-COLA COMPANY (XNYS:KO)</v>
    <v>14894444</v>
    <v>15973433</v>
    <v>1919</v>
  </rv>
  <rv s="4">
    <v>8</v>
  </rv>
  <rv s="6">
    <fb>219.94</fb>
    <v>10</v>
  </rv>
  <rv s="6">
    <fb>61.84</fb>
    <v>10</v>
  </rv>
  <rv s="6">
    <fb>222.65</fb>
    <v>10</v>
  </rv>
  <rv s="6">
    <fb>61.75</fb>
    <v>10</v>
  </rv>
  <rv s="6">
    <fb>222.67</fb>
    <v>10</v>
  </rv>
  <rv s="6">
    <fb>60.81</fb>
    <v>10</v>
  </rv>
  <rv s="6">
    <fb>223.96</fb>
    <v>10</v>
  </rv>
  <rv s="6">
    <fb>60.84</fb>
    <v>10</v>
  </rv>
  <rv s="6">
    <fb>223.18</fb>
    <v>10</v>
  </rv>
  <rv s="6">
    <fb>61.71</fb>
    <v>10</v>
  </rv>
  <rv s="6">
    <fb>219.75</fb>
    <v>10</v>
  </rv>
  <rv s="6">
    <fb>61.07</fb>
    <v>10</v>
  </rv>
  <rv s="6">
    <fb>217.4</fb>
    <v>10</v>
  </rv>
  <rv s="6">
    <fb>61.65</fb>
    <v>10</v>
  </rv>
  <rv s="6">
    <fb>217.75</fb>
    <v>10</v>
  </rv>
  <rv s="6">
    <fb>62.04</fb>
    <v>10</v>
  </rv>
  <rv s="6">
    <fb>220.03</fb>
    <v>10</v>
  </rv>
  <rv s="6">
    <fb>61.77</fb>
    <v>10</v>
  </rv>
  <rv s="6">
    <fb>222.66</fb>
    <v>10</v>
  </rv>
  <rv s="6">
    <fb>62.25</fb>
    <v>10</v>
  </rv>
  <rv s="6">
    <fb>224.79</fb>
    <v>10</v>
  </rv>
  <rv s="6">
    <fb>62.71</fb>
    <v>10</v>
  </rv>
  <rv s="6">
    <fb>224.26</fb>
    <v>10</v>
  </rv>
  <rv s="6">
    <fb>62.42</fb>
    <v>10</v>
  </rv>
  <rv s="6">
    <fb>223.26</fb>
    <v>10</v>
  </rv>
  <rv s="6">
    <fb>61.78</fb>
    <v>10</v>
  </rv>
  <rv s="6">
    <fb>226.04</fb>
    <v>10</v>
  </rv>
  <rv s="6">
    <fb>61.53</fb>
    <v>10</v>
  </rv>
  <rv s="6">
    <fb>224.8</fb>
    <v>10</v>
  </rv>
  <rv s="6">
    <fb>61.92</fb>
    <v>10</v>
  </rv>
  <rv s="6">
    <fb>224.13</fb>
    <v>10</v>
  </rv>
  <rv s="6">
    <fb>63.87</fb>
    <v>10</v>
  </rv>
  <rv s="6">
    <fb>225.66</fb>
    <v>10</v>
  </rv>
  <rv s="6">
    <fb>62.36</fb>
    <v>10</v>
  </rv>
  <rv s="6">
    <fb>228.63</fb>
    <v>10</v>
  </rv>
  <rv s="6">
    <fb>62.83</fb>
    <v>10</v>
  </rv>
  <rv s="6">
    <fb>258.27</fb>
    <v>10</v>
  </rv>
  <rv s="6">
    <fb>64.05</fb>
    <v>10</v>
  </rv>
  <rv s="6">
    <fb>255.7</fb>
    <v>10</v>
  </rv>
  <rv s="6">
    <fb>63.48</fb>
    <v>10</v>
  </rv>
  <rv s="6">
    <fb>260.73</fb>
    <v>10</v>
  </rv>
  <rv s="6">
    <fb>63.35</fb>
    <v>10</v>
  </rv>
  <rv s="6">
    <fb>264.45999999999998</fb>
    <v>10</v>
  </rv>
  <rv s="6">
    <fb>62.67</fb>
    <v>10</v>
  </rv>
  <rv s="6">
    <fb>263.3</fb>
    <v>10</v>
  </rv>
  <rv s="6">
    <fb>63.12</fb>
    <v>10</v>
  </rv>
  <rv s="6">
    <fb>253.44</fb>
    <v>10</v>
  </rv>
  <rv s="6">
    <fb>63.36</fb>
    <v>10</v>
  </rv>
  <rv s="6">
    <fb>252.34</fb>
    <v>10</v>
  </rv>
  <rv s="6">
    <fb>63.84</fb>
    <v>10</v>
  </rv>
  <rv s="6">
    <fb>249.27</fb>
    <v>10</v>
  </rv>
  <rv s="6">
    <fb>64.55</fb>
    <v>10</v>
  </rv>
  <rv s="6">
    <fb>254.7</fb>
    <v>10</v>
  </rv>
  <rv s="6">
    <fb>67.599999999999994</fb>
    <v>10</v>
  </rv>
  <rv s="6">
    <fb>255.81</fb>
    <v>10</v>
  </rv>
  <rv s="6">
    <fb>68.709999999999994</fb>
    <v>10</v>
  </rv>
  <rv s="6">
    <fb>259.19</fb>
    <v>10</v>
  </rv>
  <rv s="6">
    <fb>69.5</fb>
    <v>10</v>
  </rv>
  <rv s="6">
    <fb>261.27999999999997</fb>
    <v>10</v>
  </rv>
  <rv s="6">
    <fb>68.87</fb>
    <v>10</v>
  </rv>
  <rv s="6">
    <fb>263.07</fb>
    <v>10</v>
  </rv>
  <rv s="6">
    <fb>69.05</fb>
    <v>10</v>
  </rv>
  <rv s="6">
    <fb>264.32</fb>
    <v>10</v>
  </rv>
  <rv s="6">
    <fb>70.069999999999993</fb>
    <v>10</v>
  </rv>
  <rv s="6">
    <fb>264.74</fb>
    <v>10</v>
  </rv>
  <rv s="6">
    <fb>70.040000000000006</fb>
    <v>10</v>
  </rv>
  <rv s="6">
    <fb>261.48</fb>
    <v>10</v>
  </rv>
  <rv s="6">
    <fb>71.349999999999994</fb>
    <v>10</v>
  </rv>
  <rv s="6">
    <fb>261.87</fb>
    <v>10</v>
  </rv>
  <rv s="6">
    <fb>70.59</fb>
    <v>10</v>
  </rv>
  <rv s="6">
    <fb>257.75</fb>
    <v>10</v>
  </rv>
  <rv s="6">
    <fb>71.489999999999995</fb>
    <v>10</v>
  </rv>
  <rv s="6">
    <fb>255.84</fb>
    <v>10</v>
  </rv>
  <rv s="6">
    <fb>70.8</fb>
    <v>10</v>
  </rv>
  <rv s="6">
    <fb>253.23</fb>
    <v>10</v>
  </rv>
  <rv s="6">
    <fb>70.87</fb>
    <v>10</v>
  </rv>
  <rv s="6">
    <fb>252.44</fb>
    <v>10</v>
  </rv>
  <rv s="6">
    <fb>71.209999999999994</fb>
    <v>10</v>
  </rv>
  <rv s="6">
    <fb>250.19</fb>
    <v>10</v>
  </rv>
  <rv s="6">
    <fb>72.319999999999993</fb>
    <v>10</v>
  </rv>
  <rv s="6">
    <fb>253.21</fb>
    <v>10</v>
  </rv>
  <rv s="6">
    <fb>70.19</fb>
    <v>10</v>
  </rv>
  <rv s="6">
    <fb>251.35</fb>
    <v>10</v>
  </rv>
  <rv s="6">
    <fb>70.08</fb>
    <v>10</v>
  </rv>
  <rv s="6">
    <fb>248.69</fb>
    <v>10</v>
  </rv>
  <rv s="6">
    <fb>70.459999999999994</fb>
    <v>10</v>
  </rv>
  <rv s="6">
    <fb>261.54000000000002</fb>
    <v>10</v>
  </rv>
  <rv s="6">
    <fb>71.430000000000007</fb>
    <v>10</v>
  </rv>
  <rv s="6">
    <fb>256.89999999999998</fb>
    <v>10</v>
  </rv>
  <rv s="6">
    <fb>71.45</fb>
    <v>10</v>
  </rv>
  <rv s="6">
    <fb>248.95</fb>
    <v>10</v>
  </rv>
  <rv s="6">
    <fb>71.040000000000006</fb>
    <v>10</v>
  </rv>
  <rv s="6">
    <fb>249.63</fb>
    <v>10</v>
  </rv>
  <rv s="6">
    <fb>69.94</fb>
    <v>10</v>
  </rv>
  <rv s="6">
    <fb>245.8</fb>
    <v>10</v>
  </rv>
  <rv s="6">
    <fb>69.62</fb>
    <v>10</v>
  </rv>
  <rv s="6">
    <fb>248.35</fb>
    <v>10</v>
  </rv>
  <rv s="6">
    <fb>69.16</fb>
    <v>10</v>
  </rv>
  <rv s="6">
    <fb>252.97</fb>
    <v>10</v>
  </rv>
  <rv s="6">
    <fb>70.12</fb>
    <v>10</v>
  </rv>
  <rv s="6">
    <fb>246.95</fb>
    <v>10</v>
  </rv>
  <rv s="6">
    <fb>69.38</fb>
    <v>10</v>
  </rv>
  <rv s="6">
    <fb>252.29</fb>
    <v>10</v>
  </rv>
  <rv s="6">
    <fb>69.28</fb>
    <v>10</v>
  </rv>
  <rv s="6">
    <fb>243.32</fb>
    <v>10</v>
  </rv>
  <rv s="6">
    <fb>69.709999999999994</fb>
    <v>10</v>
  </rv>
  <rv s="6">
    <fb>243.87</fb>
    <v>10</v>
  </rv>
  <rv s="6">
    <fb>68.67</fb>
    <v>10</v>
  </rv>
  <rv s="6">
    <fb>248.45</fb>
    <v>10</v>
  </rv>
  <rv s="6">
    <fb>68.95</fb>
    <v>10</v>
  </rv>
  <rv s="6">
    <fb>249.9</fb>
    <v>10</v>
  </rv>
  <rv s="6">
    <fb>68.81</fb>
    <v>10</v>
  </rv>
  <rv s="6">
    <fb>250.34</fb>
    <v>10</v>
  </rv>
  <rv s="6">
    <fb>70.02</fb>
    <v>10</v>
  </rv>
  <rv s="6">
    <fb>246.21</fb>
    <v>10</v>
  </rv>
  <rv s="6">
    <fb>70.739999999999995</fb>
    <v>10</v>
  </rv>
  <rv s="6">
    <fb>244</fb>
    <v>10</v>
  </rv>
  <rv s="6">
    <fb>70.37</fb>
    <v>10</v>
  </rv>
  <rv s="6">
    <fb>248.66</fb>
    <v>10</v>
  </rv>
  <rv s="6">
    <fb>71.62</fb>
    <v>10</v>
  </rv>
  <rv s="0">
    <v>https://www.bing.com/financeapi/forcetrigger?t=a1xkhw&amp;q=XNYS%3aMGM&amp;form=skydnc</v>
    <v>Learn more on Bing</v>
  </rv>
  <rv s="5">
    <v>en-US</v>
    <v>a1xkhw</v>
    <v>268435456</v>
    <v>1</v>
    <v>Powered by Refinitiv</v>
    <v>7</v>
    <v>MGM RESORTS INTERNATIONAL (XNYS:MGM)</v>
    <v>8</v>
    <v>9</v>
    <v>Finance</v>
    <v>5</v>
    <v>51.59</v>
    <v>29.184999999999999</v>
    <v>1.3405</v>
    <v>1.4999999999999999E-2</v>
    <v>3.3319999999999999E-3</v>
    <v>5.0000000000000001E-4</v>
    <v>0.1</v>
    <v>USD</v>
    <v>MGM Resorts International is a global gaming and entertainment company with national and international destinations featuring hotels and casinos, meetings and conference spaces, incredible live and theatrical entertainment experiences, and a range of restaurants, nightlife and retail offerings. Its segment includes Las Vegas Strip Resorts, Regional Operations, MGM China, and MGM Digital. Las Vegas Strip Resorts consists of casino resorts: Aria, Bellagio, The Cosmopolitan of Las Vegas, MGM Grand Las Vegas, Mandalay Bay, Luxor, New York-New York, Excalibur, and Park MGM. Regional Operations consists of various casino properties: MGM Grand Detroit in Detroit, Michigan; Beau Rivage in Biloxi, Mississippi; Gold Strike Tunica in Tunica, Borgata in Atlantic City, New Jersey; MGM National Harbor in Prince George’s County, Maryland; MGM Springfield in Springfield, Massachusetts; Empire City in Yonkers, New York, and others. MGM Digital is its online gaming portfolio which consists of LeoVegas.</v>
    <v>44000</v>
    <v>New York Stock Exchange</v>
    <v>XNYS</v>
    <v>XNYS</v>
    <v>3600 LAS VEGAS BLVD S, LAS VEGAS, NV, 89109 US</v>
    <v>30.42</v>
    <v>Hotels &amp; Entertainment Services</v>
    <v>Stock</v>
    <v>46303.872840508593</v>
    <v>130</v>
    <v>29.602</v>
    <v>7551557892</v>
    <v>MGM RESORTS INTERNATIONAL</v>
    <v>MGM RESORTS INTERNATIONAL</v>
    <v>29.8</v>
    <v>18.4878</v>
    <v>30</v>
    <v>30.015000000000001</v>
    <v>30.11</v>
    <v>251592800</v>
    <v>MGM</v>
    <v>MGM RESORTS INTERNATIONAL (XNYS:MGM)</v>
    <v>5342346</v>
    <v>4654958</v>
    <v>1986</v>
  </rv>
  <rv s="4">
    <v>131</v>
  </rv>
  <rv s="0">
    <v>http://en.wikipedia.org/wiki/The_Walt_Disney_Company</v>
    <v>Wikipedia</v>
  </rv>
  <rv s="1">
    <v>0</v>
    <v>133</v>
  </rv>
  <rv s="2">
    <v>6</v>
    <v>https://www.bing.com/th?id=AMMS_0aa288ba528f6f45e3de87d97e250136&amp;qlt=95</v>
    <v>134</v>
    <v>0</v>
    <v>https://www.bing.com/images/search?form=xlimg&amp;q=the+walt+disney+company</v>
    <v>Image of THE WALT DISNEY COMPANY</v>
  </rv>
  <rv s="0">
    <v>https://www.bing.com/financeapi/forcetrigger?t=a1r2z2&amp;q=XNYS%3aDIS&amp;form=skydnc</v>
    <v>Learn more on Bing</v>
  </rv>
  <rv s="3">
    <v>en-US</v>
    <v>a1r2z2</v>
    <v>268435456</v>
    <v>1</v>
    <v>Powered by Refinitiv</v>
    <v>0</v>
    <v>THE WALT DISNEY COMPANY (XNYS:DIS)</v>
    <v>3</v>
    <v>4</v>
    <v>Finance</v>
    <v>5</v>
    <v>117.08880000000001</v>
    <v>92.185000000000002</v>
    <v>1.4570000000000001</v>
    <v>2.33</v>
    <v>3.055E-3</v>
    <v>2.2242999999999999E-2</v>
    <v>0.32690000000000002</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107.41</v>
    <v>135</v>
    <v>Media &amp; Publishing</v>
    <v>Stock</v>
    <v>46303.873099745309</v>
    <v>136</v>
    <v>104.0453</v>
    <v>184893643960</v>
    <v>THE WALT DISNEY COMPANY</v>
    <v>THE WALT DISNEY COMPANY</v>
    <v>104.81</v>
    <v>22.090199999999999</v>
    <v>104.75</v>
    <v>107.08</v>
    <v>107.34690000000001</v>
    <v>1726687000</v>
    <v>DIS</v>
    <v>THE WALT DISNEY COMPANY (XNYS:DIS)</v>
    <v>13057845</v>
    <v>8356248</v>
    <v>2018</v>
  </rv>
  <rv s="4">
    <v>137</v>
  </rv>
  <rv s="6">
    <fb>33.659999999999997</fb>
    <v>10</v>
  </rv>
  <rv s="6">
    <fb>110.82</fb>
    <v>10</v>
  </rv>
  <rv s="6">
    <fb>34.090000000000003</fb>
    <v>10</v>
  </rv>
  <rv s="6">
    <fb>111.16</fb>
    <v>10</v>
  </rv>
  <rv s="6">
    <fb>33.94</fb>
    <v>10</v>
  </rv>
  <rv s="6">
    <fb>111.05</fb>
    <v>10</v>
  </rv>
  <rv s="6">
    <fb>33.229999999999997</fb>
    <v>10</v>
  </rv>
  <rv s="6">
    <fb>111.39</fb>
    <v>10</v>
  </rv>
  <rv s="6">
    <fb>32.69</fb>
    <v>10</v>
  </rv>
  <rv s="6">
    <fb>109.76</fb>
    <v>10</v>
  </rv>
  <rv s="6">
    <fb>31.87</fb>
    <v>10</v>
  </rv>
  <rv s="6">
    <fb>108.65</fb>
    <v>10</v>
  </rv>
  <rv s="6">
    <fb>32.33</fb>
    <v>10</v>
  </rv>
  <rv s="6">
    <fb>108.08</fb>
    <v>10</v>
  </rv>
  <rv s="6">
    <fb>33.1</fb>
    <v>10</v>
  </rv>
  <rv s="6">
    <fb>108.12</fb>
    <v>10</v>
  </rv>
  <rv s="6">
    <fb>33</fb>
    <v>10</v>
  </rv>
  <rv s="6">
    <fb>108.18</fb>
    <v>10</v>
  </rv>
  <rv s="6">
    <fb>33.130000000000003</fb>
    <v>10</v>
  </rv>
  <rv s="6">
    <fb>106.46</fb>
    <v>10</v>
  </rv>
  <rv s="6">
    <fb>32.85</fb>
    <v>10</v>
  </rv>
  <rv s="6">
    <fb>107.02</fb>
    <v>10</v>
  </rv>
  <rv s="6">
    <fb>33.35</fb>
    <v>10</v>
  </rv>
  <rv s="6">
    <fb>108.7</fb>
    <v>10</v>
  </rv>
  <rv s="6">
    <fb>32.81</fb>
    <v>10</v>
  </rv>
  <rv s="6">
    <fb>108.81</fb>
    <v>10</v>
  </rv>
  <rv s="6">
    <fb>33.119999999999997</fb>
    <v>10</v>
  </rv>
  <rv s="6">
    <fb>111.04</fb>
    <v>10</v>
  </rv>
  <rv s="6">
    <fb>32.89</fb>
    <v>10</v>
  </rv>
  <rv s="6">
    <fb>112.16</fb>
    <v>10</v>
  </rv>
  <rv s="6">
    <fb>33.56</fb>
    <v>10</v>
  </rv>
  <rv s="6">
    <fb>113.34</fb>
    <v>10</v>
  </rv>
  <rv s="6">
    <fb>33.5</fb>
    <v>10</v>
  </rv>
  <rv s="6">
    <fb>112.14</fb>
    <v>10</v>
  </rv>
  <rv s="6">
    <fb>34.01</fb>
    <v>10</v>
  </rv>
  <rv s="6">
    <fb>113.19</fb>
    <v>10</v>
  </rv>
  <rv s="6">
    <fb>34.549999999999997</fb>
    <v>10</v>
  </rv>
  <rv s="6">
    <fb>113.43</fb>
    <v>10</v>
  </rv>
  <rv s="6">
    <fb>34.479999999999997</fb>
    <v>10</v>
  </rv>
  <rv s="6">
    <fb>113.06</fb>
    <v>10</v>
  </rv>
  <rv s="6">
    <fb>34.15</fb>
    <v>10</v>
  </rv>
  <rv s="6">
    <fb>114</fb>
    <v>10</v>
  </rv>
  <rv s="6">
    <fb>113.3</fb>
    <v>10</v>
  </rv>
  <rv s="6">
    <fb>34.24</fb>
    <v>10</v>
  </rv>
  <rv s="6">
    <fb>110.54</fb>
    <v>10</v>
  </rv>
  <rv s="6">
    <fb>112.09</fb>
    <v>10</v>
  </rv>
  <rv s="6">
    <fb>34.57</fb>
    <v>10</v>
  </rv>
  <rv s="6">
    <fb>110.86</fb>
    <v>10</v>
  </rv>
  <rv s="6">
    <fb>34.36</fb>
    <v>10</v>
  </rv>
  <rv s="6">
    <fb>109.28</fb>
    <v>10</v>
  </rv>
  <rv s="6">
    <fb>34.270000000000003</fb>
    <v>10</v>
  </rv>
  <rv s="6">
    <fb>109.02</fb>
    <v>10</v>
  </rv>
  <rv s="6">
    <fb>34.369999999999997</fb>
    <v>10</v>
  </rv>
  <rv s="6">
    <fb>109.23</fb>
    <v>10</v>
  </rv>
  <rv s="6">
    <fb>40.369999999999997</fb>
    <v>10</v>
  </rv>
  <rv s="6">
    <fb>109.59</fb>
    <v>10</v>
  </rv>
  <rv s="6">
    <fb>39.81</fb>
    <v>10</v>
  </rv>
  <rv s="6">
    <fb>110.38</fb>
    <v>10</v>
  </rv>
  <rv s="6">
    <fb>38.07</fb>
    <v>10</v>
  </rv>
  <rv s="6">
    <fb>109.56</fb>
    <v>10</v>
  </rv>
  <rv s="6">
    <fb>38.340000000000003</fb>
    <v>10</v>
  </rv>
  <rv s="6">
    <fb>111.35</fb>
    <v>10</v>
  </rv>
  <rv s="6">
    <fb>38.299999999999997</fb>
    <v>10</v>
  </rv>
  <rv s="6">
    <fb>110.55</fb>
    <v>10</v>
  </rv>
  <rv s="6">
    <fb>36</fb>
    <v>10</v>
  </rv>
  <rv s="6">
    <fb>108.66</fb>
    <v>10</v>
  </rv>
  <rv s="6">
    <fb>36.369999999999997</fb>
    <v>10</v>
  </rv>
  <rv s="6">
    <fb>111.2</fb>
    <v>10</v>
  </rv>
  <rv s="6">
    <fb>35.520000000000003</fb>
    <v>10</v>
  </rv>
  <rv s="6">
    <fb>110.53</fb>
    <v>10</v>
  </rv>
  <rv s="6">
    <fb>35.17</fb>
    <v>10</v>
  </rv>
  <rv s="6">
    <fb>111.83</fb>
    <v>10</v>
  </rv>
  <rv s="6">
    <fb>34.67</fb>
    <v>10</v>
  </rv>
  <rv s="6">
    <fb>111.31</fb>
    <v>10</v>
  </rv>
  <rv s="6">
    <fb>34.76</fb>
    <v>10</v>
  </rv>
  <rv s="6">
    <fb>113.8</fb>
    <v>10</v>
  </rv>
  <rv s="6">
    <fb>33.19</fb>
    <v>10</v>
  </rv>
  <rv s="6">
    <fb>112.79</fb>
    <v>10</v>
  </rv>
  <rv s="6">
    <fb>32.61</fb>
    <v>10</v>
  </rv>
  <rv s="6">
    <fb>109.01</fb>
    <v>10</v>
  </rv>
  <rv s="6">
    <fb>32.83</fb>
    <v>10</v>
  </rv>
  <rv s="6">
    <fb>109.31</fb>
    <v>10</v>
  </rv>
  <rv s="6">
    <fb>31.64</fb>
    <v>10</v>
  </rv>
  <rv s="6">
    <fb>105.43</fb>
    <v>10</v>
  </rv>
  <rv s="6">
    <fb>32.03</fb>
    <v>10</v>
  </rv>
  <rv s="6">
    <fb>105.51</fb>
    <v>10</v>
  </rv>
  <rv s="6">
    <fb>31.89</fb>
    <v>10</v>
  </rv>
  <rv s="6">
    <fb>103.08</fb>
    <v>10</v>
  </rv>
  <rv s="6">
    <fb>31.29</fb>
    <v>10</v>
  </rv>
  <rv s="6">
    <fb>97.9</fb>
    <v>10</v>
  </rv>
  <rv s="6">
    <fb>30.99</fb>
    <v>10</v>
  </rv>
  <rv s="6">
    <fb>98.76</fb>
    <v>10</v>
  </rv>
  <rv s="6">
    <fb>30.16</fb>
    <v>10</v>
  </rv>
  <rv s="6">
    <fb>96.87</fb>
    <v>10</v>
  </rv>
  <rv s="6">
    <fb>31.76</fb>
    <v>10</v>
  </rv>
  <rv s="6">
    <fb>98.64</fb>
    <v>10</v>
  </rv>
  <rv s="6">
    <fb>32.42</fb>
    <v>10</v>
  </rv>
  <rv s="6">
    <fb>99.36</fb>
    <v>10</v>
  </rv>
  <rv s="6">
    <fb>31.86</fb>
    <v>10</v>
  </rv>
  <rv s="6">
    <fb>99.35</fb>
    <v>10</v>
  </rv>
  <rv s="6">
    <fb>100.29</fb>
    <v>10</v>
  </rv>
  <rv s="6">
    <fb>32.53</fb>
    <v>10</v>
  </rv>
  <rv s="6">
    <fb>98.86</fb>
    <v>10</v>
  </rv>
  <rv s="6">
    <fb>31.42</fb>
    <v>10</v>
  </rv>
  <rv s="6">
    <fb>99.46</fb>
    <v>10</v>
  </rv>
  <rv s="6">
    <fb>100.18</fb>
    <v>10</v>
  </rv>
  <rv s="6">
    <fb>32.04</fb>
    <v>10</v>
  </rv>
  <rv s="6">
    <fb>101.61</fb>
    <v>10</v>
  </rv>
  <rv s="6">
    <fb>32.119999999999997</fb>
    <v>10</v>
  </rv>
  <rv s="6">
    <fb>100.78</fb>
    <v>10</v>
  </rv>
  <rv s="6">
    <fb>31.61</fb>
    <v>10</v>
  </rv>
  <rv s="6">
    <fb>100.45</fb>
    <v>10</v>
  </rv>
  <rv s="6">
    <fb>30.36</fb>
    <v>10</v>
  </rv>
  <rv s="6">
    <fb>98.07</fb>
    <v>10</v>
  </rv>
  <rv s="6">
    <fb>29.64</fb>
    <v>10</v>
  </rv>
  <rv s="6">
    <fb>98.7</fb>
    <v>10</v>
  </rv>
  <rv s="7">
    <v>11</v>
    <v>a1v6nm</v>
    <v>Daily</v>
    <v>45658</v>
    <v>45747</v>
    <v>0</v>
    <v>1</v>
    <v>638789760000000000,639270009576737787,0</v>
    <v>0</v>
    <v>a1v6nm</v>
    <v>XNYS:IBM</v>
    <v>1</v>
  </rv>
  <rv s="7">
    <v>11</v>
    <v>a1xkhw</v>
    <v>Daily</v>
    <v>45658</v>
    <v>45747</v>
    <v>0</v>
    <v>1</v>
    <v>638789760000000000,639270896012516882,0</v>
    <v>0</v>
    <v>a1xkhw</v>
    <v>XNYS:MGM</v>
    <v>2</v>
  </rv>
  <rv s="7">
    <v>11</v>
    <v>a1wljc</v>
    <v>Daily</v>
    <v>45658</v>
    <v>45747</v>
    <v>0</v>
    <v>1</v>
    <v>638789760000000000,639270009776247554,0</v>
    <v>0</v>
    <v>a1wljc</v>
    <v>XNYS:KO</v>
    <v>3</v>
  </rv>
  <rv s="7">
    <v>11</v>
    <v>a1r2z2</v>
    <v>Daily</v>
    <v>45658</v>
    <v>45747</v>
    <v>0</v>
    <v>1</v>
    <v>638789760000000000,639270896012030547,0</v>
    <v>0</v>
    <v>a1r2z2</v>
    <v>XNYS:DIS</v>
    <v>4</v>
  </rv>
</rvData>
</file>

<file path=xl/richData/rdrichvaluestructure.xml><?xml version="1.0" encoding="utf-8"?>
<rvStructures xmlns="http://schemas.microsoft.com/office/spreadsheetml/2017/richdata" count="8">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2">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 Last Sale</v>
      <v>GMT</v>
      <v>Real-Time Nasdaq Last Sale</v>
      <v>from close</v>
      <v>from close</v>
    </spb>
    <spb s="6">
      <v>Powered by Refinitiv</v>
    </spb>
    <spb s="0">
      <v>1</v>
      <v>Name</v>
      <v>LearnMoreOnLink</v>
    </spb>
    <spb s="7">
      <v>2</v>
      <v>2</v>
      <v>2</v>
      <v>2</v>
    </spb>
    <spb s="8">
      <v>1</v>
      <v>2</v>
      <v>2</v>
      <v>1</v>
      <v>3</v>
      <v>1</v>
      <v>1</v>
      <v>1</v>
      <v>5</v>
      <v>5</v>
      <v>6</v>
      <v>7</v>
      <v>1</v>
      <v>1</v>
      <v>1</v>
      <v>5</v>
      <v>8</v>
      <v>9</v>
      <v>10</v>
      <v>5</v>
      <v>1</v>
      <v>1</v>
      <v>6</v>
    </spb>
    <spb s="9">
      <v>1</v>
    </spb>
    <spb s="10">
      <v>11</v>
      <v>1</v>
    </spb>
  </spbData>
</supportingPropertyBags>
</file>

<file path=xl/richData/rdsupportingpropertybagstructure.xml><?xml version="1.0" encoding="utf-8"?>
<spbStructures xmlns="http://schemas.microsoft.com/office/spreadsheetml/2017/richdata2" count="11">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E1EA-748F-441C-8397-83B551C35B69}">
  <sheetPr>
    <tabColor theme="7" tint="0.79998168889431442"/>
  </sheetPr>
  <dimension ref="A1:L65"/>
  <sheetViews>
    <sheetView workbookViewId="0">
      <selection activeCell="M13" sqref="M13"/>
    </sheetView>
  </sheetViews>
  <sheetFormatPr defaultRowHeight="15"/>
  <cols>
    <col min="2" max="2" width="9.140625" customWidth="1"/>
    <col min="4" max="4" width="9.140625" customWidth="1"/>
    <col min="8" max="8" width="9.140625" customWidth="1"/>
    <col min="10" max="10" width="12.7109375" bestFit="1" customWidth="1"/>
    <col min="11" max="11" width="11" bestFit="1" customWidth="1"/>
  </cols>
  <sheetData>
    <row r="1" spans="1:12">
      <c r="A1" t="s">
        <v>0</v>
      </c>
      <c r="B1" s="2">
        <v>45658</v>
      </c>
    </row>
    <row r="2" spans="1:12">
      <c r="A2" t="s">
        <v>1</v>
      </c>
      <c r="B2" s="1">
        <v>45747</v>
      </c>
      <c r="J2" t="s">
        <v>2</v>
      </c>
    </row>
    <row r="3" spans="1:12">
      <c r="B3" t="e" vm="1">
        <v>#VALUE!</v>
      </c>
      <c r="C3" t="e" vm="2">
        <v>#VALUE!</v>
      </c>
      <c r="H3" s="5">
        <f ca="1">_xlfn.VAR.P(D7:D65)</f>
        <v>5.0706347591538022E-4</v>
      </c>
      <c r="I3" s="5">
        <f ca="1">_xlfn.VAR.P(E7:E65)</f>
        <v>1.6495867733999999E-4</v>
      </c>
      <c r="J3" s="4">
        <f ca="1">STDEV(D7:D65)</f>
        <v>2.2711361686126599E-2</v>
      </c>
      <c r="K3" s="4">
        <f ca="1">STDEV(E7:E65)</f>
        <v>1.2953871717233877E-2</v>
      </c>
    </row>
    <row r="4" spans="1:12">
      <c r="F4" s="4">
        <f ca="1">AVERAGE(D7:D65)</f>
        <v>2.3250781185324928E-3</v>
      </c>
      <c r="G4" s="4">
        <f ca="1">AVERAGE(E6:E65)</f>
        <v>2.5736151924396649E-3</v>
      </c>
      <c r="H4" s="6">
        <f ca="1">AVERAGE(H7:H65)</f>
        <v>5.0706347591538E-4</v>
      </c>
      <c r="I4" s="6">
        <f ca="1">AVERAGE(I7:I65)</f>
        <v>1.6495867734000005E-4</v>
      </c>
      <c r="J4" s="4">
        <f ca="1">+SQRT(H4)</f>
        <v>2.251806998646598E-2</v>
      </c>
      <c r="K4" s="4">
        <f ca="1">+SQRT(I4)</f>
        <v>1.2843623995586294E-2</v>
      </c>
    </row>
    <row r="5" spans="1:12">
      <c r="B5" t="s">
        <v>3</v>
      </c>
      <c r="C5" t="s">
        <v>4</v>
      </c>
      <c r="D5" t="s">
        <v>3</v>
      </c>
      <c r="E5" t="s">
        <v>4</v>
      </c>
      <c r="F5" s="3" t="s">
        <v>5</v>
      </c>
      <c r="G5" s="3" t="s">
        <v>6</v>
      </c>
      <c r="H5" t="s">
        <v>7</v>
      </c>
      <c r="J5" t="s">
        <v>8</v>
      </c>
    </row>
    <row r="6" spans="1:12">
      <c r="B6" cm="1" vm="3">
        <f t="array" aca="1" ref="B6:B65" ca="1">_xlfn.STOCKHISTORY(B3,Start.Date,End.Date,0,0,1)</f>
        <v>219.94</v>
      </c>
      <c r="C6" cm="1" vm="4">
        <f t="array" aca="1" ref="C6:C65" ca="1">_xlfn.STOCKHISTORY(C3,Start.Date,End.Date,0,0,1)</f>
        <v>61.84</v>
      </c>
      <c r="K6" s="8">
        <f ca="1">AVERAGE(J7:J65)</f>
        <v>5.6913013904627621E-5</v>
      </c>
      <c r="L6" t="s">
        <v>9</v>
      </c>
    </row>
    <row r="7" spans="1:12">
      <c r="B7" vm="5">
        <f ca="1"/>
        <v>222.65</v>
      </c>
      <c r="C7" vm="6">
        <f ca="1"/>
        <v>61.75</v>
      </c>
      <c r="D7" s="4">
        <f ca="1">B7/B6-1</f>
        <v>1.2321542238792338E-2</v>
      </c>
      <c r="E7" s="4">
        <f ca="1">C7/C6-1</f>
        <v>-1.455368693402348E-3</v>
      </c>
      <c r="F7" s="4">
        <f ca="1">+D7-F$4</f>
        <v>9.9964641202598455E-3</v>
      </c>
      <c r="G7" s="4">
        <f ca="1">E7-G$4</f>
        <v>-4.0289838858420125E-3</v>
      </c>
      <c r="H7" s="5">
        <f ca="1">+F7*F7</f>
        <v>9.9929294907642453E-5</v>
      </c>
      <c r="I7" s="5">
        <f ca="1">+G7*G7</f>
        <v>1.6232711152374601E-5</v>
      </c>
      <c r="J7" s="5">
        <f ca="1">+F7*G7</f>
        <v>-4.027559285592477E-5</v>
      </c>
      <c r="K7" s="7">
        <f ca="1">_xlfn.COVARIANCE.P(D7:D65,E7:E65)</f>
        <v>5.6913013904627621E-5</v>
      </c>
      <c r="L7" t="s">
        <v>10</v>
      </c>
    </row>
    <row r="8" spans="1:12">
      <c r="B8" vm="7">
        <f ca="1"/>
        <v>222.67</v>
      </c>
      <c r="C8" vm="8">
        <f ca="1"/>
        <v>60.81</v>
      </c>
      <c r="D8" s="4">
        <f t="shared" ref="D8:D65" ca="1" si="0">B8/B7-1</f>
        <v>8.9827082865312491E-5</v>
      </c>
      <c r="E8" s="4">
        <f t="shared" ref="E8:E65" ca="1" si="1">C8/C7-1</f>
        <v>-1.5222672064777343E-2</v>
      </c>
      <c r="F8" s="4">
        <f t="shared" ref="F8:F65" ca="1" si="2">+D8-F$4</f>
        <v>-2.2352510356671803E-3</v>
      </c>
      <c r="G8" s="4">
        <f t="shared" ref="G8:G65" ca="1" si="3">E8-G$4</f>
        <v>-1.7796287257217009E-2</v>
      </c>
      <c r="H8" s="5">
        <f t="shared" ref="H8:H65" ca="1" si="4">+F8*F8</f>
        <v>4.9963471924512026E-6</v>
      </c>
      <c r="I8" s="5">
        <f ca="1">+G8*G8</f>
        <v>3.1670784014138447E-4</v>
      </c>
      <c r="J8" s="5">
        <f t="shared" ref="J8:J65" ca="1" si="5">+F8*G8</f>
        <v>3.9779169522724966E-5</v>
      </c>
      <c r="K8" s="3">
        <f ca="1">+K7/(J4*K4)</f>
        <v>0.19678538346511121</v>
      </c>
      <c r="L8" t="s">
        <v>11</v>
      </c>
    </row>
    <row r="9" spans="1:12">
      <c r="B9" vm="9">
        <f ca="1"/>
        <v>223.96</v>
      </c>
      <c r="C9" vm="10">
        <f ca="1"/>
        <v>60.84</v>
      </c>
      <c r="D9" s="4">
        <f t="shared" ca="1" si="0"/>
        <v>5.7933264472089796E-3</v>
      </c>
      <c r="E9" s="4">
        <f t="shared" ca="1" si="1"/>
        <v>4.9333991119882015E-4</v>
      </c>
      <c r="F9" s="4">
        <f t="shared" ca="1" si="2"/>
        <v>3.4682483286764868E-3</v>
      </c>
      <c r="G9" s="4">
        <f t="shared" ca="1" si="3"/>
        <v>-2.0802752812408448E-3</v>
      </c>
      <c r="H9" s="5">
        <f t="shared" ca="1" si="4"/>
        <v>1.2028746469367244E-5</v>
      </c>
      <c r="I9" s="5">
        <f t="shared" ref="I8:I65" ca="1" si="6">+G9*G9</f>
        <v>4.3275452457416758E-6</v>
      </c>
      <c r="J9" s="5">
        <f t="shared" ca="1" si="5"/>
        <v>-7.2149112673505688E-6</v>
      </c>
    </row>
    <row r="10" spans="1:12">
      <c r="B10" vm="11">
        <f ca="1"/>
        <v>223.18</v>
      </c>
      <c r="C10" vm="12">
        <f ca="1"/>
        <v>61.71</v>
      </c>
      <c r="D10" s="4">
        <f t="shared" ca="1" si="0"/>
        <v>-3.482764779424885E-3</v>
      </c>
      <c r="E10" s="4">
        <f t="shared" ca="1" si="1"/>
        <v>1.429980276134124E-2</v>
      </c>
      <c r="F10" s="4">
        <f t="shared" ca="1" si="2"/>
        <v>-5.8078428979573774E-3</v>
      </c>
      <c r="G10" s="4">
        <f t="shared" ca="1" si="3"/>
        <v>1.1726187568901576E-2</v>
      </c>
      <c r="H10" s="5">
        <f t="shared" ca="1" si="4"/>
        <v>3.3731039127353951E-5</v>
      </c>
      <c r="I10" s="5">
        <f t="shared" ca="1" si="6"/>
        <v>1.3750347490106186E-4</v>
      </c>
      <c r="J10" s="5">
        <f t="shared" ca="1" si="5"/>
        <v>-6.81038551921611E-5</v>
      </c>
    </row>
    <row r="11" spans="1:12">
      <c r="B11" vm="13">
        <f ca="1"/>
        <v>219.75</v>
      </c>
      <c r="C11" vm="14">
        <f ca="1"/>
        <v>61.07</v>
      </c>
      <c r="D11" s="4">
        <f t="shared" ca="1" si="0"/>
        <v>-1.5368760641634616E-2</v>
      </c>
      <c r="E11" s="4">
        <f t="shared" ca="1" si="1"/>
        <v>-1.0371090584994302E-2</v>
      </c>
      <c r="F11" s="4">
        <f t="shared" ca="1" si="2"/>
        <v>-1.769383876016711E-2</v>
      </c>
      <c r="G11" s="4">
        <f t="shared" ca="1" si="3"/>
        <v>-1.2944705777433967E-2</v>
      </c>
      <c r="H11" s="5">
        <f t="shared" ca="1" si="4"/>
        <v>3.1307193007079197E-4</v>
      </c>
      <c r="I11" s="5">
        <f t="shared" ca="1" si="6"/>
        <v>1.6756540766433233E-4</v>
      </c>
      <c r="J11" s="5">
        <f t="shared" ca="1" si="5"/>
        <v>2.2904153682372025E-4</v>
      </c>
    </row>
    <row r="12" spans="1:12">
      <c r="B12" vm="15">
        <f ca="1"/>
        <v>217.4</v>
      </c>
      <c r="C12" vm="16">
        <f ca="1"/>
        <v>61.65</v>
      </c>
      <c r="D12" s="4">
        <f t="shared" ca="1" si="0"/>
        <v>-1.0693970420932897E-2</v>
      </c>
      <c r="E12" s="4">
        <f t="shared" ca="1" si="1"/>
        <v>9.4972981824135161E-3</v>
      </c>
      <c r="F12" s="4">
        <f t="shared" ca="1" si="2"/>
        <v>-1.3019048539465389E-2</v>
      </c>
      <c r="G12" s="4">
        <f t="shared" ca="1" si="3"/>
        <v>6.9236829899738516E-3</v>
      </c>
      <c r="H12" s="5">
        <f t="shared" ca="1" si="4"/>
        <v>1.6949562487295587E-4</v>
      </c>
      <c r="I12" s="5">
        <f t="shared" ca="1" si="6"/>
        <v>4.7937386145653252E-5</v>
      </c>
      <c r="J12" s="5">
        <f t="shared" ca="1" si="5"/>
        <v>-9.0139764918340432E-5</v>
      </c>
    </row>
    <row r="13" spans="1:12">
      <c r="B13" vm="17">
        <f ca="1"/>
        <v>217.75</v>
      </c>
      <c r="C13" vm="18">
        <f ca="1"/>
        <v>62.04</v>
      </c>
      <c r="D13" s="4">
        <f t="shared" ca="1" si="0"/>
        <v>1.6099356025758293E-3</v>
      </c>
      <c r="E13" s="4">
        <f t="shared" ca="1" si="1"/>
        <v>6.3260340632602663E-3</v>
      </c>
      <c r="F13" s="4">
        <f t="shared" ca="1" si="2"/>
        <v>-7.1514251595666345E-4</v>
      </c>
      <c r="G13" s="4">
        <f t="shared" ca="1" si="3"/>
        <v>3.7524188708206014E-3</v>
      </c>
      <c r="H13" s="5">
        <f t="shared" ca="1" si="4"/>
        <v>5.1142881812882664E-7</v>
      </c>
      <c r="I13" s="5">
        <f t="shared" ca="1" si="6"/>
        <v>1.4080647382090558E-5</v>
      </c>
      <c r="J13" s="5">
        <f t="shared" ca="1" si="5"/>
        <v>-2.6835142722019071E-6</v>
      </c>
    </row>
    <row r="14" spans="1:12">
      <c r="B14" vm="19">
        <f ca="1"/>
        <v>220.03</v>
      </c>
      <c r="C14" vm="20">
        <f ca="1"/>
        <v>61.77</v>
      </c>
      <c r="D14" s="4">
        <f t="shared" ca="1" si="0"/>
        <v>1.0470723306544194E-2</v>
      </c>
      <c r="E14" s="4">
        <f t="shared" ca="1" si="1"/>
        <v>-4.352030947775587E-3</v>
      </c>
      <c r="F14" s="4">
        <f t="shared" ca="1" si="2"/>
        <v>8.1456451880117017E-3</v>
      </c>
      <c r="G14" s="4">
        <f t="shared" ca="1" si="3"/>
        <v>-6.9256461402152514E-3</v>
      </c>
      <c r="H14" s="5">
        <f t="shared" ca="1" si="4"/>
        <v>6.6351535528978194E-5</v>
      </c>
      <c r="I14" s="5">
        <f t="shared" ca="1" si="6"/>
        <v>4.796457445947841E-5</v>
      </c>
      <c r="J14" s="5">
        <f t="shared" ca="1" si="5"/>
        <v>-5.6413856155916179E-5</v>
      </c>
    </row>
    <row r="15" spans="1:12">
      <c r="B15" vm="21">
        <f ca="1"/>
        <v>222.66</v>
      </c>
      <c r="C15" vm="22">
        <f ca="1"/>
        <v>62.25</v>
      </c>
      <c r="D15" s="4">
        <f t="shared" ca="1" si="0"/>
        <v>1.1952915511521223E-2</v>
      </c>
      <c r="E15" s="4">
        <f t="shared" ca="1" si="1"/>
        <v>7.770762506070783E-3</v>
      </c>
      <c r="F15" s="4">
        <f t="shared" ca="1" si="2"/>
        <v>9.6278373929887303E-3</v>
      </c>
      <c r="G15" s="4">
        <f t="shared" ca="1" si="3"/>
        <v>5.1971473136311185E-3</v>
      </c>
      <c r="H15" s="5">
        <f t="shared" ca="1" si="4"/>
        <v>9.2695252865832026E-5</v>
      </c>
      <c r="I15" s="5">
        <f t="shared" ca="1" si="6"/>
        <v>2.7010340199583152E-5</v>
      </c>
      <c r="J15" s="5">
        <f t="shared" ca="1" si="5"/>
        <v>5.0037289243048609E-5</v>
      </c>
    </row>
    <row r="16" spans="1:12">
      <c r="B16" vm="23">
        <f ca="1"/>
        <v>224.79</v>
      </c>
      <c r="C16" vm="24">
        <f ca="1"/>
        <v>62.71</v>
      </c>
      <c r="D16" s="4">
        <f t="shared" ca="1" si="0"/>
        <v>9.5661546752896509E-3</v>
      </c>
      <c r="E16" s="4">
        <f t="shared" ca="1" si="1"/>
        <v>7.3895582329317477E-3</v>
      </c>
      <c r="F16" s="4">
        <f t="shared" ca="1" si="2"/>
        <v>7.2410765567571585E-3</v>
      </c>
      <c r="G16" s="4">
        <f t="shared" ca="1" si="3"/>
        <v>4.8159430404920833E-3</v>
      </c>
      <c r="H16" s="5">
        <f t="shared" ca="1" si="4"/>
        <v>5.2433189700818108E-5</v>
      </c>
      <c r="I16" s="5">
        <f t="shared" ca="1" si="6"/>
        <v>2.3193307369264131E-5</v>
      </c>
      <c r="J16" s="5">
        <f t="shared" ca="1" si="5"/>
        <v>3.4872612249185013E-5</v>
      </c>
    </row>
    <row r="17" spans="2:10">
      <c r="B17" vm="25">
        <f ca="1"/>
        <v>224.26</v>
      </c>
      <c r="C17" vm="26">
        <f ca="1"/>
        <v>62.42</v>
      </c>
      <c r="D17" s="4">
        <f t="shared" ca="1" si="0"/>
        <v>-2.3577561279416459E-3</v>
      </c>
      <c r="E17" s="4">
        <f t="shared" ca="1" si="1"/>
        <v>-4.6244618083239875E-3</v>
      </c>
      <c r="F17" s="4">
        <f t="shared" ca="1" si="2"/>
        <v>-4.6828342464741383E-3</v>
      </c>
      <c r="G17" s="4">
        <f t="shared" ca="1" si="3"/>
        <v>-7.1980770007636519E-3</v>
      </c>
      <c r="H17" s="5">
        <f t="shared" ca="1" si="4"/>
        <v>2.1928936579951009E-5</v>
      </c>
      <c r="I17" s="5">
        <f t="shared" ca="1" si="6"/>
        <v>5.1812312508922648E-5</v>
      </c>
      <c r="J17" s="5">
        <f t="shared" ca="1" si="5"/>
        <v>3.3707401487933883E-5</v>
      </c>
    </row>
    <row r="18" spans="2:10">
      <c r="B18" vm="27">
        <f ca="1"/>
        <v>223.26</v>
      </c>
      <c r="C18" vm="28">
        <f ca="1"/>
        <v>61.78</v>
      </c>
      <c r="D18" s="4">
        <f t="shared" ca="1" si="0"/>
        <v>-4.4591099616516638E-3</v>
      </c>
      <c r="E18" s="4">
        <f t="shared" ca="1" si="1"/>
        <v>-1.0253123998718361E-2</v>
      </c>
      <c r="F18" s="4">
        <f t="shared" ca="1" si="2"/>
        <v>-6.7841880801841562E-3</v>
      </c>
      <c r="G18" s="4">
        <f t="shared" ca="1" si="3"/>
        <v>-1.2826739191158025E-2</v>
      </c>
      <c r="H18" s="5">
        <f t="shared" ca="1" si="4"/>
        <v>4.6025207907312786E-5</v>
      </c>
      <c r="I18" s="5">
        <f t="shared" ca="1" si="6"/>
        <v>1.6452523827798925E-4</v>
      </c>
      <c r="J18" s="5">
        <f t="shared" ca="1" si="5"/>
        <v>8.7019011128285239E-5</v>
      </c>
    </row>
    <row r="19" spans="2:10">
      <c r="B19" vm="29">
        <f ca="1"/>
        <v>226.04</v>
      </c>
      <c r="C19" vm="30">
        <f ca="1"/>
        <v>61.53</v>
      </c>
      <c r="D19" s="4">
        <f t="shared" ca="1" si="0"/>
        <v>1.2451849861148334E-2</v>
      </c>
      <c r="E19" s="4">
        <f t="shared" ca="1" si="1"/>
        <v>-4.0466170281644454E-3</v>
      </c>
      <c r="F19" s="4">
        <f t="shared" ca="1" si="2"/>
        <v>1.0126771742615842E-2</v>
      </c>
      <c r="G19" s="4">
        <f t="shared" ca="1" si="3"/>
        <v>-6.6202322206041098E-3</v>
      </c>
      <c r="H19" s="5">
        <f t="shared" ca="1" si="4"/>
        <v>1.0255150592704269E-4</v>
      </c>
      <c r="I19" s="5">
        <f t="shared" ca="1" si="6"/>
        <v>4.3827474654724825E-5</v>
      </c>
      <c r="J19" s="5">
        <f t="shared" ca="1" si="5"/>
        <v>-6.7041580581168628E-5</v>
      </c>
    </row>
    <row r="20" spans="2:10">
      <c r="B20" vm="31">
        <f ca="1"/>
        <v>224.8</v>
      </c>
      <c r="C20" vm="32">
        <f ca="1"/>
        <v>61.92</v>
      </c>
      <c r="D20" s="4">
        <f t="shared" ca="1" si="0"/>
        <v>-5.4857547336754076E-3</v>
      </c>
      <c r="E20" s="4">
        <f t="shared" ca="1" si="1"/>
        <v>6.3383715260847406E-3</v>
      </c>
      <c r="F20" s="4">
        <f t="shared" ca="1" si="2"/>
        <v>-7.8108328522078999E-3</v>
      </c>
      <c r="G20" s="4">
        <f t="shared" ca="1" si="3"/>
        <v>3.7647563336450757E-3</v>
      </c>
      <c r="H20" s="5">
        <f t="shared" ca="1" si="4"/>
        <v>6.1009109845130196E-5</v>
      </c>
      <c r="I20" s="5">
        <f t="shared" ca="1" si="6"/>
        <v>1.4173390251720712E-5</v>
      </c>
      <c r="J20" s="5">
        <f t="shared" ca="1" si="5"/>
        <v>-2.9405882451392724E-5</v>
      </c>
    </row>
    <row r="21" spans="2:10">
      <c r="B21" vm="33">
        <f ca="1"/>
        <v>224.13</v>
      </c>
      <c r="C21" vm="34">
        <f ca="1"/>
        <v>63.87</v>
      </c>
      <c r="D21" s="4">
        <f t="shared" ca="1" si="0"/>
        <v>-2.9804270462634452E-3</v>
      </c>
      <c r="E21" s="4">
        <f t="shared" ca="1" si="1"/>
        <v>3.1492248062015449E-2</v>
      </c>
      <c r="F21" s="4">
        <f t="shared" ca="1" si="2"/>
        <v>-5.3055051647959376E-3</v>
      </c>
      <c r="G21" s="4">
        <f t="shared" ca="1" si="3"/>
        <v>2.8918632869575783E-2</v>
      </c>
      <c r="H21" s="5">
        <f t="shared" ca="1" si="4"/>
        <v>2.8148385053676368E-5</v>
      </c>
      <c r="I21" s="5">
        <f t="shared" ca="1" si="6"/>
        <v>8.3628732704530881E-4</v>
      </c>
      <c r="J21" s="5">
        <f t="shared" ca="1" si="5"/>
        <v>-1.5342795604837188E-4</v>
      </c>
    </row>
    <row r="22" spans="2:10">
      <c r="B22" vm="35">
        <f ca="1"/>
        <v>225.66</v>
      </c>
      <c r="C22" vm="36">
        <f ca="1"/>
        <v>62.36</v>
      </c>
      <c r="D22" s="4">
        <f t="shared" ca="1" si="0"/>
        <v>6.8263953955294276E-3</v>
      </c>
      <c r="E22" s="4">
        <f t="shared" ca="1" si="1"/>
        <v>-2.3641772350086132E-2</v>
      </c>
      <c r="F22" s="4">
        <f t="shared" ca="1" si="2"/>
        <v>4.5013172769969353E-3</v>
      </c>
      <c r="G22" s="4">
        <f t="shared" ca="1" si="3"/>
        <v>-2.6215387542525798E-2</v>
      </c>
      <c r="H22" s="5">
        <f t="shared" ca="1" si="4"/>
        <v>2.0261857228191105E-5</v>
      </c>
      <c r="I22" s="5">
        <f t="shared" ca="1" si="6"/>
        <v>6.8724654400481686E-4</v>
      </c>
      <c r="J22" s="5">
        <f t="shared" ca="1" si="5"/>
        <v>-1.180037768683416E-4</v>
      </c>
    </row>
    <row r="23" spans="2:10">
      <c r="B23" vm="37">
        <f ca="1"/>
        <v>228.63</v>
      </c>
      <c r="C23" vm="38">
        <f ca="1"/>
        <v>62.83</v>
      </c>
      <c r="D23" s="4">
        <f t="shared" ca="1" si="0"/>
        <v>1.3161393246476916E-2</v>
      </c>
      <c r="E23" s="4">
        <f t="shared" ca="1" si="1"/>
        <v>7.5368826170620906E-3</v>
      </c>
      <c r="F23" s="4">
        <f t="shared" ca="1" si="2"/>
        <v>1.0836315127944423E-2</v>
      </c>
      <c r="G23" s="4">
        <f t="shared" ca="1" si="3"/>
        <v>4.9632674246224261E-3</v>
      </c>
      <c r="H23" s="5">
        <f t="shared" ca="1" si="4"/>
        <v>1.1742572555211716E-4</v>
      </c>
      <c r="I23" s="5">
        <f t="shared" ca="1" si="6"/>
        <v>2.463402352831813E-5</v>
      </c>
      <c r="J23" s="5">
        <f t="shared" ca="1" si="5"/>
        <v>5.3783529877469752E-5</v>
      </c>
    </row>
    <row r="24" spans="2:10">
      <c r="B24" vm="39">
        <f ca="1"/>
        <v>258.27</v>
      </c>
      <c r="C24" vm="40">
        <f ca="1"/>
        <v>64.05</v>
      </c>
      <c r="D24" s="4">
        <f t="shared" ca="1" si="0"/>
        <v>0.12964177929405585</v>
      </c>
      <c r="E24" s="4">
        <f t="shared" ca="1" si="1"/>
        <v>1.9417475728155331E-2</v>
      </c>
      <c r="F24" s="4">
        <f t="shared" ca="1" si="2"/>
        <v>0.12731670117552335</v>
      </c>
      <c r="G24" s="4">
        <f t="shared" ca="1" si="3"/>
        <v>1.6843860535715665E-2</v>
      </c>
      <c r="H24" s="5">
        <f t="shared" ca="1" si="4"/>
        <v>1.6209542398217508E-2</v>
      </c>
      <c r="I24" s="5">
        <f t="shared" ca="1" si="6"/>
        <v>2.837156377466396E-4</v>
      </c>
      <c r="J24" s="5">
        <f t="shared" ca="1" si="5"/>
        <v>2.144504758467902E-3</v>
      </c>
    </row>
    <row r="25" spans="2:10">
      <c r="B25" vm="41">
        <f ca="1"/>
        <v>255.7</v>
      </c>
      <c r="C25" vm="42">
        <f ca="1"/>
        <v>63.48</v>
      </c>
      <c r="D25" s="4">
        <f t="shared" ca="1" si="0"/>
        <v>-9.95082665427649E-3</v>
      </c>
      <c r="E25" s="4">
        <f t="shared" ca="1" si="1"/>
        <v>-8.8992974238876199E-3</v>
      </c>
      <c r="F25" s="4">
        <f t="shared" ca="1" si="2"/>
        <v>-1.2275904772808982E-2</v>
      </c>
      <c r="G25" s="4">
        <f t="shared" ca="1" si="3"/>
        <v>-1.1472912616327284E-2</v>
      </c>
      <c r="H25" s="5">
        <f t="shared" ca="1" si="4"/>
        <v>1.5069783799107436E-4</v>
      </c>
      <c r="I25" s="5">
        <f t="shared" ca="1" si="6"/>
        <v>1.3162772390188176E-4</v>
      </c>
      <c r="J25" s="5">
        <f t="shared" ca="1" si="5"/>
        <v>1.408403827447925E-4</v>
      </c>
    </row>
    <row r="26" spans="2:10">
      <c r="B26" vm="43">
        <f ca="1"/>
        <v>260.73</v>
      </c>
      <c r="C26" vm="44">
        <f ca="1"/>
        <v>63.35</v>
      </c>
      <c r="D26" s="4">
        <f t="shared" ca="1" si="0"/>
        <v>1.9671490027376004E-2</v>
      </c>
      <c r="E26" s="4">
        <f t="shared" ca="1" si="1"/>
        <v>-2.0478890989287235E-3</v>
      </c>
      <c r="F26" s="4">
        <f t="shared" ca="1" si="2"/>
        <v>1.734641190884351E-2</v>
      </c>
      <c r="G26" s="4">
        <f t="shared" ca="1" si="3"/>
        <v>-4.621504291368388E-3</v>
      </c>
      <c r="H26" s="5">
        <f t="shared" ca="1" si="4"/>
        <v>3.0089800611126792E-4</v>
      </c>
      <c r="I26" s="5">
        <f t="shared" ca="1" si="6"/>
        <v>2.1358301915136427E-5</v>
      </c>
      <c r="J26" s="5">
        <f t="shared" ca="1" si="5"/>
        <v>-8.0166517076563998E-5</v>
      </c>
    </row>
    <row r="27" spans="2:10">
      <c r="B27" vm="45">
        <f ca="1"/>
        <v>264.45999999999998</v>
      </c>
      <c r="C27" vm="46">
        <f ca="1"/>
        <v>62.67</v>
      </c>
      <c r="D27" s="4">
        <f t="shared" ca="1" si="0"/>
        <v>1.4305987036397738E-2</v>
      </c>
      <c r="E27" s="4">
        <f t="shared" ca="1" si="1"/>
        <v>-1.07340173638516E-2</v>
      </c>
      <c r="F27" s="4">
        <f t="shared" ca="1" si="2"/>
        <v>1.1980908917865246E-2</v>
      </c>
      <c r="G27" s="4">
        <f t="shared" ca="1" si="3"/>
        <v>-1.3307632556291265E-2</v>
      </c>
      <c r="H27" s="5">
        <f t="shared" ca="1" si="4"/>
        <v>1.4354217849818298E-4</v>
      </c>
      <c r="I27" s="5">
        <f t="shared" ca="1" si="6"/>
        <v>1.7709308425326319E-4</v>
      </c>
      <c r="J27" s="5">
        <f t="shared" ca="1" si="5"/>
        <v>-1.5943753356934388E-4</v>
      </c>
    </row>
    <row r="28" spans="2:10">
      <c r="B28" vm="47">
        <f ca="1"/>
        <v>263.3</v>
      </c>
      <c r="C28" vm="48">
        <f ca="1"/>
        <v>63.12</v>
      </c>
      <c r="D28" s="4">
        <f t="shared" ca="1" si="0"/>
        <v>-4.386296604401263E-3</v>
      </c>
      <c r="E28" s="4">
        <f t="shared" ca="1" si="1"/>
        <v>7.1804691239827356E-3</v>
      </c>
      <c r="F28" s="4">
        <f t="shared" ca="1" si="2"/>
        <v>-6.7113747229337554E-3</v>
      </c>
      <c r="G28" s="4">
        <f t="shared" ca="1" si="3"/>
        <v>4.6068539315430711E-3</v>
      </c>
      <c r="H28" s="5">
        <f t="shared" ca="1" si="4"/>
        <v>4.504255067163414E-5</v>
      </c>
      <c r="I28" s="5">
        <f t="shared" ca="1" si="6"/>
        <v>2.1223103146573852E-5</v>
      </c>
      <c r="J28" s="5">
        <f t="shared" ca="1" si="5"/>
        <v>-3.0918323028406159E-5</v>
      </c>
    </row>
    <row r="29" spans="2:10">
      <c r="B29" vm="49">
        <f ca="1"/>
        <v>253.44</v>
      </c>
      <c r="C29" vm="50">
        <f ca="1"/>
        <v>63.36</v>
      </c>
      <c r="D29" s="4">
        <f t="shared" ca="1" si="0"/>
        <v>-3.7447778199772186E-2</v>
      </c>
      <c r="E29" s="4">
        <f t="shared" ca="1" si="1"/>
        <v>3.8022813688212143E-3</v>
      </c>
      <c r="F29" s="4">
        <f t="shared" ca="1" si="2"/>
        <v>-3.9772856318304677E-2</v>
      </c>
      <c r="G29" s="4">
        <f t="shared" ca="1" si="3"/>
        <v>1.2286661763815493E-3</v>
      </c>
      <c r="H29" s="5">
        <f t="shared" ca="1" si="4"/>
        <v>1.5818800997165082E-3</v>
      </c>
      <c r="I29" s="5">
        <f t="shared" ca="1" si="6"/>
        <v>1.5096205729840566E-6</v>
      </c>
      <c r="J29" s="5">
        <f t="shared" ca="1" si="5"/>
        <v>-4.8867563296384152E-5</v>
      </c>
    </row>
    <row r="30" spans="2:10">
      <c r="B30" vm="51">
        <f ca="1"/>
        <v>252.34</v>
      </c>
      <c r="C30" vm="52">
        <f ca="1"/>
        <v>63.84</v>
      </c>
      <c r="D30" s="4">
        <f t="shared" ca="1" si="0"/>
        <v>-4.3402777777777901E-3</v>
      </c>
      <c r="E30" s="4">
        <f t="shared" ca="1" si="1"/>
        <v>7.575757575757569E-3</v>
      </c>
      <c r="F30" s="4">
        <f t="shared" ca="1" si="2"/>
        <v>-6.6653558963102825E-3</v>
      </c>
      <c r="G30" s="4">
        <f t="shared" ca="1" si="3"/>
        <v>5.0021423833179045E-3</v>
      </c>
      <c r="H30" s="5">
        <f t="shared" ca="1" si="4"/>
        <v>4.4426969224478248E-5</v>
      </c>
      <c r="I30" s="5">
        <f t="shared" ca="1" si="6"/>
        <v>2.5021428422985327E-5</v>
      </c>
      <c r="J30" s="5">
        <f t="shared" ca="1" si="5"/>
        <v>-3.3341059228831561E-5</v>
      </c>
    </row>
    <row r="31" spans="2:10">
      <c r="B31" vm="53">
        <f ca="1"/>
        <v>249.27</v>
      </c>
      <c r="C31" vm="54">
        <f ca="1"/>
        <v>64.55</v>
      </c>
      <c r="D31" s="4">
        <f t="shared" ca="1" si="0"/>
        <v>-1.2166125069350886E-2</v>
      </c>
      <c r="E31" s="4">
        <f t="shared" ca="1" si="1"/>
        <v>1.1121553884711588E-2</v>
      </c>
      <c r="F31" s="4">
        <f t="shared" ca="1" si="2"/>
        <v>-1.4491203187883378E-2</v>
      </c>
      <c r="G31" s="4">
        <f t="shared" ca="1" si="3"/>
        <v>8.5479386922719235E-3</v>
      </c>
      <c r="H31" s="5">
        <f t="shared" ca="1" si="4"/>
        <v>2.0999496983252139E-4</v>
      </c>
      <c r="I31" s="5">
        <f t="shared" ca="1" si="6"/>
        <v>7.3067255886839438E-5</v>
      </c>
      <c r="J31" s="5">
        <f t="shared" ca="1" si="5"/>
        <v>-1.2386991642728259E-4</v>
      </c>
    </row>
    <row r="32" spans="2:10">
      <c r="B32" vm="55">
        <f ca="1"/>
        <v>254.7</v>
      </c>
      <c r="C32" vm="56">
        <f ca="1"/>
        <v>67.599999999999994</v>
      </c>
      <c r="D32" s="4">
        <f t="shared" ca="1" si="0"/>
        <v>2.1783608135756305E-2</v>
      </c>
      <c r="E32" s="4">
        <f t="shared" ca="1" si="1"/>
        <v>4.7250193648334493E-2</v>
      </c>
      <c r="F32" s="4">
        <f t="shared" ca="1" si="2"/>
        <v>1.9458530017223811E-2</v>
      </c>
      <c r="G32" s="4">
        <f t="shared" ca="1" si="3"/>
        <v>4.467657845589483E-2</v>
      </c>
      <c r="H32" s="5">
        <f t="shared" ca="1" si="4"/>
        <v>3.786343904312001E-4</v>
      </c>
      <c r="I32" s="5">
        <f t="shared" ca="1" si="6"/>
        <v>1.995996662525726E-3</v>
      </c>
      <c r="J32" s="5">
        <f t="shared" ca="1" si="5"/>
        <v>8.6934054295088414E-4</v>
      </c>
    </row>
    <row r="33" spans="2:10">
      <c r="B33" vm="57">
        <f ca="1"/>
        <v>255.81</v>
      </c>
      <c r="C33" vm="58">
        <f ca="1"/>
        <v>68.709999999999994</v>
      </c>
      <c r="D33" s="4">
        <f t="shared" ca="1" si="0"/>
        <v>4.358068315665653E-3</v>
      </c>
      <c r="E33" s="4">
        <f t="shared" ca="1" si="1"/>
        <v>1.6420118343195345E-2</v>
      </c>
      <c r="F33" s="4">
        <f t="shared" ca="1" si="2"/>
        <v>2.0329901971331602E-3</v>
      </c>
      <c r="G33" s="4">
        <f t="shared" ca="1" si="3"/>
        <v>1.384650315075568E-2</v>
      </c>
      <c r="H33" s="5">
        <f t="shared" ca="1" si="4"/>
        <v>4.1330491416395255E-6</v>
      </c>
      <c r="I33" s="5">
        <f t="shared" ca="1" si="6"/>
        <v>1.9172564950388696E-4</v>
      </c>
      <c r="J33" s="5">
        <f t="shared" ca="1" si="5"/>
        <v>2.8149805170059713E-5</v>
      </c>
    </row>
    <row r="34" spans="2:10">
      <c r="B34" vm="59">
        <f ca="1"/>
        <v>259.19</v>
      </c>
      <c r="C34" vm="60">
        <f ca="1"/>
        <v>69.5</v>
      </c>
      <c r="D34" s="4">
        <f t="shared" ca="1" si="0"/>
        <v>1.3212931472577294E-2</v>
      </c>
      <c r="E34" s="4">
        <f t="shared" ca="1" si="1"/>
        <v>1.1497598602823622E-2</v>
      </c>
      <c r="F34" s="4">
        <f t="shared" ca="1" si="2"/>
        <v>1.0887853354044802E-2</v>
      </c>
      <c r="G34" s="4">
        <f t="shared" ca="1" si="3"/>
        <v>8.9239834103839576E-3</v>
      </c>
      <c r="H34" s="5">
        <f t="shared" ca="1" si="4"/>
        <v>1.1854535065918463E-4</v>
      </c>
      <c r="I34" s="5">
        <f t="shared" ca="1" si="6"/>
        <v>7.9637479908808097E-5</v>
      </c>
      <c r="J34" s="5">
        <f t="shared" ca="1" si="5"/>
        <v>9.7163022706189134E-5</v>
      </c>
    </row>
    <row r="35" spans="2:10">
      <c r="B35" vm="61">
        <f ca="1"/>
        <v>261.27999999999997</v>
      </c>
      <c r="C35" vm="62">
        <f ca="1"/>
        <v>68.87</v>
      </c>
      <c r="D35" s="4">
        <f t="shared" ca="1" si="0"/>
        <v>8.0635826999497784E-3</v>
      </c>
      <c r="E35" s="4">
        <f t="shared" ca="1" si="1"/>
        <v>-9.0647482014387659E-3</v>
      </c>
      <c r="F35" s="4">
        <f t="shared" ca="1" si="2"/>
        <v>5.738504581417286E-3</v>
      </c>
      <c r="G35" s="4">
        <f t="shared" ca="1" si="3"/>
        <v>-1.163836339387843E-2</v>
      </c>
      <c r="H35" s="5">
        <f t="shared" ca="1" si="4"/>
        <v>3.293043483094718E-5</v>
      </c>
      <c r="I35" s="5">
        <f t="shared" ca="1" si="6"/>
        <v>1.3545150248796945E-4</v>
      </c>
      <c r="J35" s="5">
        <f t="shared" ca="1" si="5"/>
        <v>-6.6786801655970604E-5</v>
      </c>
    </row>
    <row r="36" spans="2:10">
      <c r="B36" vm="63">
        <f ca="1"/>
        <v>263.07</v>
      </c>
      <c r="C36" vm="64">
        <f ca="1"/>
        <v>69.05</v>
      </c>
      <c r="D36" s="4">
        <f t="shared" ca="1" si="0"/>
        <v>6.8508879363136099E-3</v>
      </c>
      <c r="E36" s="4">
        <f t="shared" ca="1" si="1"/>
        <v>2.6136198635109409E-3</v>
      </c>
      <c r="F36" s="4">
        <f t="shared" ca="1" si="2"/>
        <v>4.5258098177811176E-3</v>
      </c>
      <c r="G36" s="4">
        <f t="shared" ca="1" si="3"/>
        <v>4.0004671071275973E-5</v>
      </c>
      <c r="H36" s="5">
        <f t="shared" ca="1" si="4"/>
        <v>2.0482954506723953E-5</v>
      </c>
      <c r="I36" s="5">
        <f t="shared" ca="1" si="6"/>
        <v>1.6003737075209847E-9</v>
      </c>
      <c r="J36" s="5">
        <f t="shared" ca="1" si="5"/>
        <v>1.8105353309148507E-7</v>
      </c>
    </row>
    <row r="37" spans="2:10">
      <c r="B37" vm="65">
        <f ca="1"/>
        <v>264.32</v>
      </c>
      <c r="C37" vm="66">
        <f ca="1"/>
        <v>70.069999999999993</v>
      </c>
      <c r="D37" s="4">
        <f t="shared" ca="1" si="0"/>
        <v>4.7515870300680607E-3</v>
      </c>
      <c r="E37" s="4">
        <f t="shared" ca="1" si="1"/>
        <v>1.4771904417089088E-2</v>
      </c>
      <c r="F37" s="4">
        <f t="shared" ca="1" si="2"/>
        <v>2.4265089115355679E-3</v>
      </c>
      <c r="G37" s="4">
        <f t="shared" ca="1" si="3"/>
        <v>1.2198289224649423E-2</v>
      </c>
      <c r="H37" s="5">
        <f t="shared" ca="1" si="4"/>
        <v>5.8879454977615268E-6</v>
      </c>
      <c r="I37" s="5">
        <f t="shared" ca="1" si="6"/>
        <v>1.4879826000819822E-4</v>
      </c>
      <c r="J37" s="5">
        <f t="shared" ca="1" si="5"/>
        <v>2.9599257509100119E-5</v>
      </c>
    </row>
    <row r="38" spans="2:10">
      <c r="B38" vm="67">
        <f ca="1"/>
        <v>264.74</v>
      </c>
      <c r="C38" vm="68">
        <f ca="1"/>
        <v>70.040000000000006</v>
      </c>
      <c r="D38" s="4">
        <f t="shared" ca="1" si="0"/>
        <v>1.5889830508475367E-3</v>
      </c>
      <c r="E38" s="4">
        <f t="shared" ca="1" si="1"/>
        <v>-4.2814328528595347E-4</v>
      </c>
      <c r="F38" s="4">
        <f t="shared" ca="1" si="2"/>
        <v>-7.3609506768495614E-4</v>
      </c>
      <c r="G38" s="4">
        <f t="shared" ca="1" si="3"/>
        <v>-3.0017584777256184E-3</v>
      </c>
      <c r="H38" s="5">
        <f t="shared" ca="1" si="4"/>
        <v>5.4183594867012017E-7</v>
      </c>
      <c r="I38" s="5">
        <f t="shared" ca="1" si="6"/>
        <v>9.0105539585976214E-6</v>
      </c>
      <c r="J38" s="5">
        <f t="shared" ca="1" si="5"/>
        <v>2.2095796098353299E-6</v>
      </c>
    </row>
    <row r="39" spans="2:10">
      <c r="B39" vm="69">
        <f ca="1"/>
        <v>261.48</v>
      </c>
      <c r="C39" vm="70">
        <f ca="1"/>
        <v>71.349999999999994</v>
      </c>
      <c r="D39" s="4">
        <f t="shared" ca="1" si="0"/>
        <v>-1.2313968421847843E-2</v>
      </c>
      <c r="E39" s="4">
        <f t="shared" ca="1" si="1"/>
        <v>1.8703597944031758E-2</v>
      </c>
      <c r="F39" s="4">
        <f t="shared" ca="1" si="2"/>
        <v>-1.4639046540380335E-2</v>
      </c>
      <c r="G39" s="4">
        <f t="shared" ca="1" si="3"/>
        <v>1.6129982751592092E-2</v>
      </c>
      <c r="H39" s="5">
        <f t="shared" ca="1" si="4"/>
        <v>2.1430168361142145E-4</v>
      </c>
      <c r="I39" s="5">
        <f t="shared" ca="1" si="6"/>
        <v>2.601763435666584E-4</v>
      </c>
      <c r="J39" s="5">
        <f t="shared" ca="1" si="5"/>
        <v>-2.3612756819608869E-4</v>
      </c>
    </row>
    <row r="40" spans="2:10">
      <c r="B40" vm="71">
        <f ca="1"/>
        <v>261.87</v>
      </c>
      <c r="C40" vm="72">
        <f ca="1"/>
        <v>70.59</v>
      </c>
      <c r="D40" s="4">
        <f t="shared" ca="1" si="0"/>
        <v>1.491509866911267E-3</v>
      </c>
      <c r="E40" s="4">
        <f t="shared" ca="1" si="1"/>
        <v>-1.0651716888577356E-2</v>
      </c>
      <c r="F40" s="4">
        <f t="shared" ca="1" si="2"/>
        <v>-8.3356825162122583E-4</v>
      </c>
      <c r="G40" s="4">
        <f t="shared" ca="1" si="3"/>
        <v>-1.3225332081017021E-2</v>
      </c>
      <c r="H40" s="5">
        <f t="shared" ca="1" si="4"/>
        <v>6.9483603011086723E-7</v>
      </c>
      <c r="I40" s="5">
        <f t="shared" ca="1" si="6"/>
        <v>1.74909408653178E-4</v>
      </c>
      <c r="J40" s="5">
        <f t="shared" ca="1" si="5"/>
        <v>1.1024216939883466E-5</v>
      </c>
    </row>
    <row r="41" spans="2:10">
      <c r="B41" vm="73">
        <f ca="1"/>
        <v>257.75</v>
      </c>
      <c r="C41" vm="74">
        <f ca="1"/>
        <v>71.489999999999995</v>
      </c>
      <c r="D41" s="4">
        <f t="shared" ca="1" si="0"/>
        <v>-1.5732997288731121E-2</v>
      </c>
      <c r="E41" s="4">
        <f t="shared" ca="1" si="1"/>
        <v>1.2749681257968382E-2</v>
      </c>
      <c r="F41" s="4">
        <f t="shared" ca="1" si="2"/>
        <v>-1.8058075407263615E-2</v>
      </c>
      <c r="G41" s="4">
        <f t="shared" ca="1" si="3"/>
        <v>1.0176066065528717E-2</v>
      </c>
      <c r="H41" s="5">
        <f t="shared" ca="1" si="4"/>
        <v>3.2609408741441899E-4</v>
      </c>
      <c r="I41" s="5">
        <f t="shared" ca="1" si="6"/>
        <v>1.035523205700051E-4</v>
      </c>
      <c r="J41" s="5">
        <f t="shared" ca="1" si="5"/>
        <v>-1.8376016836061393E-4</v>
      </c>
    </row>
    <row r="42" spans="2:10">
      <c r="B42" vm="75">
        <f ca="1"/>
        <v>255.84</v>
      </c>
      <c r="C42" vm="76">
        <f ca="1"/>
        <v>70.8</v>
      </c>
      <c r="D42" s="4">
        <f t="shared" ca="1" si="0"/>
        <v>-7.4102812803104046E-3</v>
      </c>
      <c r="E42" s="4">
        <f t="shared" ca="1" si="1"/>
        <v>-9.6516995383969517E-3</v>
      </c>
      <c r="F42" s="4">
        <f t="shared" ca="1" si="2"/>
        <v>-9.7353593988428969E-3</v>
      </c>
      <c r="G42" s="4">
        <f t="shared" ca="1" si="3"/>
        <v>-1.2225314730836616E-2</v>
      </c>
      <c r="H42" s="5">
        <f t="shared" ca="1" si="4"/>
        <v>9.4777222624638726E-5</v>
      </c>
      <c r="I42" s="5">
        <f t="shared" ca="1" si="6"/>
        <v>1.4945832026801078E-4</v>
      </c>
      <c r="J42" s="5">
        <f t="shared" ca="1" si="5"/>
        <v>1.1901783266866277E-4</v>
      </c>
    </row>
    <row r="43" spans="2:10">
      <c r="B43" vm="77">
        <f ca="1"/>
        <v>253.23</v>
      </c>
      <c r="C43" vm="78">
        <f ca="1"/>
        <v>70.87</v>
      </c>
      <c r="D43" s="4">
        <f t="shared" ca="1" si="0"/>
        <v>-1.0201688555347199E-2</v>
      </c>
      <c r="E43" s="4">
        <f t="shared" ca="1" si="1"/>
        <v>9.8870056497180059E-4</v>
      </c>
      <c r="F43" s="4">
        <f t="shared" ca="1" si="2"/>
        <v>-1.2526766673879692E-2</v>
      </c>
      <c r="G43" s="4">
        <f t="shared" ca="1" si="3"/>
        <v>-1.5849146274678643E-3</v>
      </c>
      <c r="H43" s="5">
        <f t="shared" ca="1" si="4"/>
        <v>1.5691988330182287E-4</v>
      </c>
      <c r="I43" s="5">
        <f t="shared" ca="1" si="6"/>
        <v>2.5119543763615991E-6</v>
      </c>
      <c r="J43" s="5">
        <f t="shared" ca="1" si="5"/>
        <v>1.9853855736308888E-5</v>
      </c>
    </row>
    <row r="44" spans="2:10">
      <c r="B44" vm="79">
        <f ca="1"/>
        <v>252.44</v>
      </c>
      <c r="C44" vm="80">
        <f ca="1"/>
        <v>71.209999999999994</v>
      </c>
      <c r="D44" s="4">
        <f t="shared" ca="1" si="0"/>
        <v>-3.1196935592149311E-3</v>
      </c>
      <c r="E44" s="4">
        <f t="shared" ca="1" si="1"/>
        <v>4.7975165796527719E-3</v>
      </c>
      <c r="F44" s="4">
        <f t="shared" ca="1" si="2"/>
        <v>-5.4447716777474234E-3</v>
      </c>
      <c r="G44" s="4">
        <f t="shared" ca="1" si="3"/>
        <v>2.223901387213107E-3</v>
      </c>
      <c r="H44" s="5">
        <f t="shared" ca="1" si="4"/>
        <v>2.9645538622800493E-5</v>
      </c>
      <c r="I44" s="5">
        <f t="shared" ca="1" si="6"/>
        <v>4.9457373800483813E-6</v>
      </c>
      <c r="J44" s="5">
        <f t="shared" ca="1" si="5"/>
        <v>-1.2108635287201131E-5</v>
      </c>
    </row>
    <row r="45" spans="2:10">
      <c r="B45" vm="81">
        <f ca="1"/>
        <v>250.19</v>
      </c>
      <c r="C45" vm="82">
        <f ca="1"/>
        <v>72.319999999999993</v>
      </c>
      <c r="D45" s="4">
        <f t="shared" ca="1" si="0"/>
        <v>-8.9130090318491062E-3</v>
      </c>
      <c r="E45" s="4">
        <f t="shared" ca="1" si="1"/>
        <v>1.5587698356972268E-2</v>
      </c>
      <c r="F45" s="4">
        <f t="shared" ca="1" si="2"/>
        <v>-1.1238087150381599E-2</v>
      </c>
      <c r="G45" s="4">
        <f t="shared" ca="1" si="3"/>
        <v>1.3014083164532604E-2</v>
      </c>
      <c r="H45" s="5">
        <f t="shared" ca="1" si="4"/>
        <v>1.26294602799572E-4</v>
      </c>
      <c r="I45" s="5">
        <f t="shared" ca="1" si="6"/>
        <v>1.6936636061337096E-4</v>
      </c>
      <c r="J45" s="5">
        <f t="shared" ca="1" si="5"/>
        <v>-1.4625340078533135E-4</v>
      </c>
    </row>
    <row r="46" spans="2:10">
      <c r="B46" vm="83">
        <f ca="1"/>
        <v>253.21</v>
      </c>
      <c r="C46" vm="84">
        <f ca="1"/>
        <v>70.19</v>
      </c>
      <c r="D46" s="4">
        <f t="shared" ca="1" si="0"/>
        <v>1.2070826172109195E-2</v>
      </c>
      <c r="E46" s="4">
        <f t="shared" ca="1" si="1"/>
        <v>-2.9452433628318508E-2</v>
      </c>
      <c r="F46" s="4">
        <f t="shared" ca="1" si="2"/>
        <v>9.7457480535767024E-3</v>
      </c>
      <c r="G46" s="4">
        <f t="shared" ca="1" si="3"/>
        <v>-3.2026048820758171E-2</v>
      </c>
      <c r="H46" s="5">
        <f t="shared" ca="1" si="4"/>
        <v>9.4979605123794077E-5</v>
      </c>
      <c r="I46" s="5">
        <f t="shared" ca="1" si="6"/>
        <v>1.0256678030695859E-3</v>
      </c>
      <c r="J46" s="5">
        <f t="shared" ca="1" si="5"/>
        <v>-3.1211780295865637E-4</v>
      </c>
    </row>
    <row r="47" spans="2:10">
      <c r="B47" vm="85">
        <f ca="1"/>
        <v>251.35</v>
      </c>
      <c r="C47" vm="86">
        <f ca="1"/>
        <v>70.08</v>
      </c>
      <c r="D47" s="4">
        <f t="shared" ca="1" si="0"/>
        <v>-7.3456814501797751E-3</v>
      </c>
      <c r="E47" s="4">
        <f t="shared" ca="1" si="1"/>
        <v>-1.5671748112267014E-3</v>
      </c>
      <c r="F47" s="4">
        <f t="shared" ca="1" si="2"/>
        <v>-9.6707595687122675E-3</v>
      </c>
      <c r="G47" s="4">
        <f t="shared" ca="1" si="3"/>
        <v>-4.1407900036663659E-3</v>
      </c>
      <c r="H47" s="5">
        <f t="shared" ca="1" si="4"/>
        <v>9.3523590635839884E-5</v>
      </c>
      <c r="I47" s="5">
        <f t="shared" ca="1" si="6"/>
        <v>1.7146141854463304E-5</v>
      </c>
      <c r="J47" s="5">
        <f t="shared" ca="1" si="5"/>
        <v>4.0044584549984614E-5</v>
      </c>
    </row>
    <row r="48" spans="2:10">
      <c r="B48" vm="87">
        <f ca="1"/>
        <v>248.69</v>
      </c>
      <c r="C48" vm="88">
        <f ca="1"/>
        <v>70.459999999999994</v>
      </c>
      <c r="D48" s="4">
        <f t="shared" ca="1" si="0"/>
        <v>-1.0582852595981684E-2</v>
      </c>
      <c r="E48" s="4">
        <f t="shared" ca="1" si="1"/>
        <v>5.4223744292236642E-3</v>
      </c>
      <c r="F48" s="4">
        <f t="shared" ca="1" si="2"/>
        <v>-1.2907930714514177E-2</v>
      </c>
      <c r="G48" s="4">
        <f t="shared" ca="1" si="3"/>
        <v>2.8487592367839993E-3</v>
      </c>
      <c r="H48" s="5">
        <f t="shared" ca="1" si="4"/>
        <v>1.6661467533069847E-4</v>
      </c>
      <c r="I48" s="5">
        <f t="shared" ca="1" si="6"/>
        <v>8.1154291891621536E-6</v>
      </c>
      <c r="J48" s="5">
        <f t="shared" ca="1" si="5"/>
        <v>-3.6771586850740147E-5</v>
      </c>
    </row>
    <row r="49" spans="2:10">
      <c r="B49" vm="89">
        <f ca="1"/>
        <v>261.54000000000002</v>
      </c>
      <c r="C49" vm="90">
        <f ca="1"/>
        <v>71.430000000000007</v>
      </c>
      <c r="D49" s="4">
        <f t="shared" ca="1" si="0"/>
        <v>5.1670754754915782E-2</v>
      </c>
      <c r="E49" s="4">
        <f t="shared" ca="1" si="1"/>
        <v>1.3766676128299959E-2</v>
      </c>
      <c r="F49" s="4">
        <f t="shared" ca="1" si="2"/>
        <v>4.9345676636383291E-2</v>
      </c>
      <c r="G49" s="4">
        <f t="shared" ca="1" si="3"/>
        <v>1.1193060935860295E-2</v>
      </c>
      <c r="H49" s="5">
        <f t="shared" ca="1" si="4"/>
        <v>2.434995802702504E-3</v>
      </c>
      <c r="I49" s="5">
        <f t="shared" ca="1" si="6"/>
        <v>1.2528461311388174E-4</v>
      </c>
      <c r="J49" s="5">
        <f t="shared" ca="1" si="5"/>
        <v>5.5232916551229588E-4</v>
      </c>
    </row>
    <row r="50" spans="2:10">
      <c r="B50" vm="91">
        <f ca="1"/>
        <v>256.89999999999998</v>
      </c>
      <c r="C50" vm="92">
        <f ca="1"/>
        <v>71.45</v>
      </c>
      <c r="D50" s="4">
        <f t="shared" ca="1" si="0"/>
        <v>-1.7741072111340683E-2</v>
      </c>
      <c r="E50" s="4">
        <f t="shared" ca="1" si="1"/>
        <v>2.799944001119492E-4</v>
      </c>
      <c r="F50" s="4">
        <f t="shared" ca="1" si="2"/>
        <v>-2.0066150229873177E-2</v>
      </c>
      <c r="G50" s="4">
        <f t="shared" ca="1" si="3"/>
        <v>-2.2936207923277157E-3</v>
      </c>
      <c r="H50" s="5">
        <f t="shared" ca="1" si="4"/>
        <v>4.0265038504783937E-4</v>
      </c>
      <c r="I50" s="5">
        <f t="shared" ca="1" si="6"/>
        <v>5.2606963389980186E-6</v>
      </c>
      <c r="J50" s="5">
        <f t="shared" ca="1" si="5"/>
        <v>4.602413938920869E-5</v>
      </c>
    </row>
    <row r="51" spans="2:10">
      <c r="B51" vm="93">
        <f ca="1"/>
        <v>248.95</v>
      </c>
      <c r="C51" vm="94">
        <f ca="1"/>
        <v>71.040000000000006</v>
      </c>
      <c r="D51" s="4">
        <f t="shared" ca="1" si="0"/>
        <v>-3.0945893343713449E-2</v>
      </c>
      <c r="E51" s="4">
        <f t="shared" ca="1" si="1"/>
        <v>-5.7382785164450389E-3</v>
      </c>
      <c r="F51" s="4">
        <f t="shared" ca="1" si="2"/>
        <v>-3.3270971462245939E-2</v>
      </c>
      <c r="G51" s="4">
        <f t="shared" ca="1" si="3"/>
        <v>-8.3118937088847034E-3</v>
      </c>
      <c r="H51" s="5">
        <f t="shared" ca="1" si="4"/>
        <v>1.1069575420415837E-3</v>
      </c>
      <c r="I51" s="5">
        <f t="shared" ca="1" si="6"/>
        <v>6.908757702779711E-5</v>
      </c>
      <c r="J51" s="5">
        <f t="shared" ca="1" si="5"/>
        <v>2.7654477838552453E-4</v>
      </c>
    </row>
    <row r="52" spans="2:10">
      <c r="B52" vm="95">
        <f ca="1"/>
        <v>249.63</v>
      </c>
      <c r="C52" vm="96">
        <f ca="1"/>
        <v>69.94</v>
      </c>
      <c r="D52" s="4">
        <f t="shared" ca="1" si="0"/>
        <v>2.7314721831692701E-3</v>
      </c>
      <c r="E52" s="4">
        <f t="shared" ca="1" si="1"/>
        <v>-1.5484234234234395E-2</v>
      </c>
      <c r="F52" s="4">
        <f t="shared" ca="1" si="2"/>
        <v>4.0639406463677729E-4</v>
      </c>
      <c r="G52" s="4">
        <f t="shared" ca="1" si="3"/>
        <v>-1.8057849426674061E-2</v>
      </c>
      <c r="H52" s="5">
        <f t="shared" ca="1" si="4"/>
        <v>1.6515613577200111E-7</v>
      </c>
      <c r="I52" s="5">
        <f t="shared" ca="1" si="6"/>
        <v>3.2608592591643271E-4</v>
      </c>
      <c r="J52" s="5">
        <f t="shared" ca="1" si="5"/>
        <v>-7.3386028271049699E-6</v>
      </c>
    </row>
    <row r="53" spans="2:10">
      <c r="B53" vm="97">
        <f ca="1"/>
        <v>245.8</v>
      </c>
      <c r="C53" vm="98">
        <f ca="1"/>
        <v>69.62</v>
      </c>
      <c r="D53" s="4">
        <f t="shared" ca="1" si="0"/>
        <v>-1.5342707206665751E-2</v>
      </c>
      <c r="E53" s="4">
        <f t="shared" ca="1" si="1"/>
        <v>-4.5753503002572415E-3</v>
      </c>
      <c r="F53" s="4">
        <f t="shared" ca="1" si="2"/>
        <v>-1.7667785325198245E-2</v>
      </c>
      <c r="G53" s="4">
        <f t="shared" ca="1" si="3"/>
        <v>-7.148965492696906E-3</v>
      </c>
      <c r="H53" s="5">
        <f t="shared" ca="1" si="4"/>
        <v>3.1215063829729048E-4</v>
      </c>
      <c r="I53" s="5">
        <f t="shared" ca="1" si="6"/>
        <v>5.1107707615771117E-5</v>
      </c>
      <c r="J53" s="5">
        <f t="shared" ca="1" si="5"/>
        <v>1.2630638762221904E-4</v>
      </c>
    </row>
    <row r="54" spans="2:10">
      <c r="B54" vm="99">
        <f ca="1"/>
        <v>248.35</v>
      </c>
      <c r="C54" vm="100">
        <f ca="1"/>
        <v>69.16</v>
      </c>
      <c r="D54" s="4">
        <f t="shared" ca="1" si="0"/>
        <v>1.0374288039056045E-2</v>
      </c>
      <c r="E54" s="4">
        <f t="shared" ca="1" si="1"/>
        <v>-6.6072967538064464E-3</v>
      </c>
      <c r="F54" s="4">
        <f t="shared" ca="1" si="2"/>
        <v>8.0492099205235531E-3</v>
      </c>
      <c r="G54" s="4">
        <f t="shared" ca="1" si="3"/>
        <v>-9.1809119462461109E-3</v>
      </c>
      <c r="H54" s="5">
        <f t="shared" ca="1" si="4"/>
        <v>6.4789780344654785E-5</v>
      </c>
      <c r="I54" s="5">
        <f t="shared" ca="1" si="6"/>
        <v>8.4289144164724557E-5</v>
      </c>
      <c r="J54" s="5">
        <f t="shared" ca="1" si="5"/>
        <v>-7.3899087517177402E-5</v>
      </c>
    </row>
    <row r="55" spans="2:10">
      <c r="B55" vm="101">
        <f ca="1"/>
        <v>252.97</v>
      </c>
      <c r="C55" vm="102">
        <f ca="1"/>
        <v>70.12</v>
      </c>
      <c r="D55" s="4">
        <f t="shared" ca="1" si="0"/>
        <v>1.8602778337024395E-2</v>
      </c>
      <c r="E55" s="4">
        <f t="shared" ca="1" si="1"/>
        <v>1.3880855986119212E-2</v>
      </c>
      <c r="F55" s="4">
        <f t="shared" ca="1" si="2"/>
        <v>1.6277700218491901E-2</v>
      </c>
      <c r="G55" s="4">
        <f t="shared" ca="1" si="3"/>
        <v>1.1307240793679547E-2</v>
      </c>
      <c r="H55" s="5">
        <f t="shared" ca="1" si="4"/>
        <v>2.6496352440309127E-4</v>
      </c>
      <c r="I55" s="5">
        <f t="shared" ca="1" si="6"/>
        <v>1.2785369436625087E-4</v>
      </c>
      <c r="J55" s="5">
        <f t="shared" ca="1" si="5"/>
        <v>1.840558759378181E-4</v>
      </c>
    </row>
    <row r="56" spans="2:10">
      <c r="B56" vm="103">
        <f ca="1"/>
        <v>246.95</v>
      </c>
      <c r="C56" vm="104">
        <f ca="1"/>
        <v>69.38</v>
      </c>
      <c r="D56" s="4">
        <f t="shared" ca="1" si="0"/>
        <v>-2.3797288215994028E-2</v>
      </c>
      <c r="E56" s="4">
        <f t="shared" ca="1" si="1"/>
        <v>-1.0553337136337881E-2</v>
      </c>
      <c r="F56" s="4">
        <f t="shared" ca="1" si="2"/>
        <v>-2.6122366334526522E-2</v>
      </c>
      <c r="G56" s="4">
        <f t="shared" ca="1" si="3"/>
        <v>-1.3126952328777546E-2</v>
      </c>
      <c r="H56" s="5">
        <f t="shared" ca="1" si="4"/>
        <v>6.8237802291520465E-4</v>
      </c>
      <c r="I56" s="5">
        <f t="shared" ca="1" si="6"/>
        <v>1.7231687744199823E-4</v>
      </c>
      <c r="J56" s="5">
        <f t="shared" ca="1" si="5"/>
        <v>3.429070575881931E-4</v>
      </c>
    </row>
    <row r="57" spans="2:10">
      <c r="B57" vm="105">
        <f ca="1"/>
        <v>252.29</v>
      </c>
      <c r="C57" vm="106">
        <f ca="1"/>
        <v>69.28</v>
      </c>
      <c r="D57" s="4">
        <f t="shared" ca="1" si="0"/>
        <v>2.1623810487953143E-2</v>
      </c>
      <c r="E57" s="4">
        <f t="shared" ca="1" si="1"/>
        <v>-1.4413375612567503E-3</v>
      </c>
      <c r="F57" s="4">
        <f t="shared" ca="1" si="2"/>
        <v>1.9298732369420649E-2</v>
      </c>
      <c r="G57" s="4">
        <f t="shared" ca="1" si="3"/>
        <v>-4.0149527536964148E-3</v>
      </c>
      <c r="H57" s="5">
        <f t="shared" ca="1" si="4"/>
        <v>3.7244107106652435E-4</v>
      </c>
      <c r="I57" s="5">
        <f t="shared" ca="1" si="6"/>
        <v>1.6119845614414424E-5</v>
      </c>
      <c r="J57" s="5">
        <f t="shared" ca="1" si="5"/>
        <v>-7.7483498669455572E-5</v>
      </c>
    </row>
    <row r="58" spans="2:10">
      <c r="B58" vm="107">
        <f ca="1"/>
        <v>243.32</v>
      </c>
      <c r="C58" vm="108">
        <f ca="1"/>
        <v>69.709999999999994</v>
      </c>
      <c r="D58" s="4">
        <f t="shared" ca="1" si="0"/>
        <v>-3.5554322406754157E-2</v>
      </c>
      <c r="E58" s="4">
        <f t="shared" ca="1" si="1"/>
        <v>6.2066974595842428E-3</v>
      </c>
      <c r="F58" s="4">
        <f t="shared" ca="1" si="2"/>
        <v>-3.7879400525286648E-2</v>
      </c>
      <c r="G58" s="4">
        <f t="shared" ca="1" si="3"/>
        <v>3.6330822671445779E-3</v>
      </c>
      <c r="H58" s="5">
        <f t="shared" ca="1" si="4"/>
        <v>1.4348489841550865E-3</v>
      </c>
      <c r="I58" s="5">
        <f t="shared" ca="1" si="6"/>
        <v>1.3199286759840386E-5</v>
      </c>
      <c r="J58" s="5">
        <f t="shared" ca="1" si="5"/>
        <v>-1.3761897833848593E-4</v>
      </c>
    </row>
    <row r="59" spans="2:10">
      <c r="B59" vm="109">
        <f ca="1"/>
        <v>243.87</v>
      </c>
      <c r="C59" vm="110">
        <f ca="1"/>
        <v>68.67</v>
      </c>
      <c r="D59" s="4">
        <f t="shared" ca="1" si="0"/>
        <v>2.2603978300181904E-3</v>
      </c>
      <c r="E59" s="4">
        <f t="shared" ca="1" si="1"/>
        <v>-1.4918949935446735E-2</v>
      </c>
      <c r="F59" s="4">
        <f t="shared" ca="1" si="2"/>
        <v>-6.4680288514302412E-5</v>
      </c>
      <c r="G59" s="4">
        <f t="shared" ca="1" si="3"/>
        <v>-1.7492565127886401E-2</v>
      </c>
      <c r="H59" s="5">
        <f t="shared" ca="1" si="4"/>
        <v>4.1835397222934002E-9</v>
      </c>
      <c r="I59" s="5">
        <f t="shared" ca="1" si="6"/>
        <v>3.0598983475334739E-4</v>
      </c>
      <c r="J59" s="5">
        <f t="shared" ca="1" si="5"/>
        <v>1.1314241593269176E-6</v>
      </c>
    </row>
    <row r="60" spans="2:10">
      <c r="B60" vm="111">
        <f ca="1"/>
        <v>248.45</v>
      </c>
      <c r="C60" vm="112">
        <f ca="1"/>
        <v>68.95</v>
      </c>
      <c r="D60" s="4">
        <f t="shared" ca="1" si="0"/>
        <v>1.8780497806208052E-2</v>
      </c>
      <c r="E60" s="4">
        <f t="shared" ca="1" si="1"/>
        <v>4.0774719673801751E-3</v>
      </c>
      <c r="F60" s="4">
        <f t="shared" ca="1" si="2"/>
        <v>1.6455419687675558E-2</v>
      </c>
      <c r="G60" s="4">
        <f t="shared" ca="1" si="3"/>
        <v>1.5038567749405102E-3</v>
      </c>
      <c r="H60" s="5">
        <f t="shared" ca="1" si="4"/>
        <v>2.7078083709754035E-4</v>
      </c>
      <c r="I60" s="5">
        <f t="shared" ca="1" si="6"/>
        <v>2.2615851995344726E-6</v>
      </c>
      <c r="J60" s="5">
        <f t="shared" ca="1" si="5"/>
        <v>2.4746594381800343E-5</v>
      </c>
    </row>
    <row r="61" spans="2:10">
      <c r="B61" vm="113">
        <f ca="1"/>
        <v>249.9</v>
      </c>
      <c r="C61" vm="114">
        <f ca="1"/>
        <v>68.81</v>
      </c>
      <c r="D61" s="4">
        <f t="shared" ca="1" si="0"/>
        <v>5.8361843429262095E-3</v>
      </c>
      <c r="E61" s="4">
        <f t="shared" ca="1" si="1"/>
        <v>-2.0304568527919065E-3</v>
      </c>
      <c r="F61" s="4">
        <f t="shared" ca="1" si="2"/>
        <v>3.5111062243937167E-3</v>
      </c>
      <c r="G61" s="4">
        <f t="shared" ca="1" si="3"/>
        <v>-4.6040720452315709E-3</v>
      </c>
      <c r="H61" s="5">
        <f t="shared" ca="1" si="4"/>
        <v>1.23278669189763E-5</v>
      </c>
      <c r="I61" s="5">
        <f t="shared" ca="1" si="6"/>
        <v>2.119747939768282E-5</v>
      </c>
      <c r="J61" s="5">
        <f t="shared" ca="1" si="5"/>
        <v>-1.616538601556968E-5</v>
      </c>
    </row>
    <row r="62" spans="2:10">
      <c r="B62" vm="115">
        <f ca="1"/>
        <v>250.34</v>
      </c>
      <c r="C62" vm="116">
        <f ca="1"/>
        <v>70.02</v>
      </c>
      <c r="D62" s="4">
        <f t="shared" ca="1" si="0"/>
        <v>1.7607042817127105E-3</v>
      </c>
      <c r="E62" s="4">
        <f t="shared" ca="1" si="1"/>
        <v>1.7584653393402094E-2</v>
      </c>
      <c r="F62" s="4">
        <f t="shared" ca="1" si="2"/>
        <v>-5.6437383681978226E-4</v>
      </c>
      <c r="G62" s="4">
        <f t="shared" ca="1" si="3"/>
        <v>1.501103820096243E-2</v>
      </c>
      <c r="H62" s="5">
        <f t="shared" ca="1" si="4"/>
        <v>3.1851782768668223E-7</v>
      </c>
      <c r="I62" s="5">
        <f t="shared" ca="1" si="6"/>
        <v>2.2533126787075338E-4</v>
      </c>
      <c r="J62" s="5">
        <f t="shared" ca="1" si="5"/>
        <v>-8.4718372241254891E-6</v>
      </c>
    </row>
    <row r="63" spans="2:10">
      <c r="B63" vm="117">
        <f ca="1"/>
        <v>246.21</v>
      </c>
      <c r="C63" vm="118">
        <f ca="1"/>
        <v>70.739999999999995</v>
      </c>
      <c r="D63" s="4">
        <f t="shared" ca="1" si="0"/>
        <v>-1.6497563313893071E-2</v>
      </c>
      <c r="E63" s="4">
        <f t="shared" ca="1" si="1"/>
        <v>1.0282776349614275E-2</v>
      </c>
      <c r="F63" s="4">
        <f t="shared" ca="1" si="2"/>
        <v>-1.8822641432425565E-2</v>
      </c>
      <c r="G63" s="4">
        <f t="shared" ca="1" si="3"/>
        <v>7.709161157174611E-3</v>
      </c>
      <c r="H63" s="5">
        <f t="shared" ca="1" si="4"/>
        <v>3.5429183049366354E-4</v>
      </c>
      <c r="I63" s="5">
        <f t="shared" ca="1" si="6"/>
        <v>5.9431165747289788E-5</v>
      </c>
      <c r="J63" s="5">
        <f t="shared" ca="1" si="5"/>
        <v>-1.4510677620628064E-4</v>
      </c>
    </row>
    <row r="64" spans="2:10">
      <c r="B64" vm="119">
        <f ca="1"/>
        <v>244</v>
      </c>
      <c r="C64" vm="120">
        <f ca="1"/>
        <v>70.37</v>
      </c>
      <c r="D64" s="4">
        <f t="shared" ca="1" si="0"/>
        <v>-8.9760773323586118E-3</v>
      </c>
      <c r="E64" s="4">
        <f t="shared" ca="1" si="1"/>
        <v>-5.2304212609555201E-3</v>
      </c>
      <c r="F64" s="4">
        <f t="shared" ca="1" si="2"/>
        <v>-1.1301155450891104E-2</v>
      </c>
      <c r="G64" s="4">
        <f t="shared" ca="1" si="3"/>
        <v>-7.8040364533951845E-3</v>
      </c>
      <c r="H64" s="5">
        <f t="shared" ca="1" si="4"/>
        <v>1.2771611452520572E-4</v>
      </c>
      <c r="I64" s="5">
        <f t="shared" ca="1" si="6"/>
        <v>6.0902984965920892E-5</v>
      </c>
      <c r="J64" s="5">
        <f t="shared" ca="1" si="5"/>
        <v>8.8194629104239869E-5</v>
      </c>
    </row>
    <row r="65" spans="2:10">
      <c r="B65" vm="121">
        <f ca="1"/>
        <v>248.66</v>
      </c>
      <c r="C65" vm="122">
        <f ca="1"/>
        <v>71.62</v>
      </c>
      <c r="D65" s="4">
        <f t="shared" ca="1" si="0"/>
        <v>1.9098360655737778E-2</v>
      </c>
      <c r="E65" s="4">
        <f t="shared" ca="1" si="1"/>
        <v>1.7763251385533696E-2</v>
      </c>
      <c r="F65" s="4">
        <f t="shared" ca="1" si="2"/>
        <v>1.6773282537205284E-2</v>
      </c>
      <c r="G65" s="4">
        <f t="shared" ca="1" si="3"/>
        <v>1.5189636193094031E-2</v>
      </c>
      <c r="H65" s="5">
        <f t="shared" ca="1" si="4"/>
        <v>2.8134300707291575E-4</v>
      </c>
      <c r="I65" s="5">
        <f t="shared" ca="1" si="6"/>
        <v>2.3072504767855214E-4</v>
      </c>
      <c r="J65" s="5">
        <f t="shared" ca="1" si="5"/>
        <v>2.5478005950412545E-4</v>
      </c>
    </row>
  </sheetData>
  <conditionalFormatting sqref="F7:G65">
    <cfRule type="cellIs" dxfId="9" priority="5" operator="lessThan">
      <formula>0</formula>
    </cfRule>
    <cfRule type="cellIs" dxfId="8" priority="6" operator="greaterThan">
      <formula>0</formula>
    </cfRule>
  </conditionalFormatting>
  <conditionalFormatting sqref="J8:J65">
    <cfRule type="cellIs" dxfId="7" priority="3" operator="lessThan">
      <formula>0</formula>
    </cfRule>
    <cfRule type="cellIs" dxfId="6" priority="4" operator="greaterThan">
      <formula>0</formula>
    </cfRule>
  </conditionalFormatting>
  <conditionalFormatting sqref="J7">
    <cfRule type="cellIs" dxfId="5" priority="1" operator="lessThan">
      <formula>0</formula>
    </cfRule>
    <cfRule type="cellIs" dxfId="4"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369F-F0D7-4E99-8862-36AE16DC9FF6}">
  <sheetPr>
    <tabColor theme="8" tint="0.79998168889431442"/>
  </sheetPr>
  <dimension ref="A1:L65"/>
  <sheetViews>
    <sheetView tabSelected="1" workbookViewId="0">
      <selection activeCell="K10" sqref="K10"/>
    </sheetView>
  </sheetViews>
  <sheetFormatPr defaultRowHeight="15"/>
  <cols>
    <col min="2" max="2" width="9.85546875" customWidth="1"/>
  </cols>
  <sheetData>
    <row r="1" spans="1:12">
      <c r="A1" t="s">
        <v>0</v>
      </c>
      <c r="B1" s="2">
        <v>45658</v>
      </c>
    </row>
    <row r="2" spans="1:12">
      <c r="A2" t="s">
        <v>1</v>
      </c>
      <c r="B2" s="1">
        <v>45747</v>
      </c>
      <c r="J2" t="s">
        <v>12</v>
      </c>
    </row>
    <row r="3" spans="1:12">
      <c r="B3" t="e" vm="123">
        <v>#VALUE!</v>
      </c>
      <c r="C3" t="e" vm="124">
        <v>#VALUE!</v>
      </c>
      <c r="H3" s="5">
        <f ca="1">_xlfn.VAR.P(D7:D65)</f>
        <v>9.3807446143104149E-4</v>
      </c>
      <c r="I3" s="5">
        <f ca="1">_xlfn.VAR.P(E7:E65)</f>
        <v>2.0949510997706887E-4</v>
      </c>
      <c r="J3" s="4">
        <f ca="1">STDEV(D7:D65)</f>
        <v>3.0890907384567411E-2</v>
      </c>
      <c r="K3" s="4">
        <f ca="1">STDEV(E7:E65)</f>
        <v>1.4598188059887636E-2</v>
      </c>
    </row>
    <row r="4" spans="1:12">
      <c r="F4" s="4">
        <f ca="1">AVERAGE(D7:D65)</f>
        <v>-1.7093556674636972E-3</v>
      </c>
      <c r="G4" s="4">
        <f ca="1">AVERAGE(E6:E65)</f>
        <v>-1.8553309569485153E-3</v>
      </c>
      <c r="H4" s="6">
        <f ca="1">AVERAGE(H7:H65)</f>
        <v>9.3807446143104084E-4</v>
      </c>
      <c r="I4" s="6">
        <f ca="1">AVERAGE(I7:I65)</f>
        <v>2.0949510997706887E-4</v>
      </c>
      <c r="J4" s="4">
        <f ca="1">+SQRT(H4)</f>
        <v>3.0628001264056407E-2</v>
      </c>
      <c r="K4" s="4">
        <f ca="1">+SQRT(I4)</f>
        <v>1.4473945902105233E-2</v>
      </c>
    </row>
    <row r="5" spans="1:12">
      <c r="B5" t="s">
        <v>13</v>
      </c>
      <c r="C5" t="s">
        <v>14</v>
      </c>
      <c r="D5" t="s">
        <v>15</v>
      </c>
      <c r="E5" t="s">
        <v>14</v>
      </c>
      <c r="F5" t="s">
        <v>16</v>
      </c>
      <c r="G5" t="s">
        <v>17</v>
      </c>
      <c r="H5" t="s">
        <v>7</v>
      </c>
      <c r="J5" t="s">
        <v>18</v>
      </c>
    </row>
    <row r="6" spans="1:12">
      <c r="B6" cm="1" vm="125">
        <f t="array" aca="1" ref="B6:B65" ca="1">_xlfn.STOCKHISTORY(B3,Start.Date,End.Date,0,0,1)</f>
        <v>33.659999999999997</v>
      </c>
      <c r="C6" cm="1" vm="126">
        <f t="array" aca="1" ref="C6:C65" ca="1">_xlfn.STOCKHISTORY(C3,Start.Date,End.Date,0,0,1)</f>
        <v>110.82</v>
      </c>
    </row>
    <row r="7" spans="1:12">
      <c r="B7" vm="127">
        <f ca="1"/>
        <v>34.090000000000003</v>
      </c>
      <c r="C7" vm="128">
        <f ca="1"/>
        <v>111.16</v>
      </c>
      <c r="D7" s="4">
        <f ca="1">B7/B6-1</f>
        <v>1.2774806892454249E-2</v>
      </c>
      <c r="E7" s="4">
        <f ca="1">C7/C6-1</f>
        <v>3.0680382602419343E-3</v>
      </c>
      <c r="F7" s="4">
        <f ca="1">+D7-F$4</f>
        <v>1.4484162559917947E-2</v>
      </c>
      <c r="G7" s="4">
        <f ca="1">E7-G$4</f>
        <v>4.92336921719045E-3</v>
      </c>
      <c r="H7" s="5">
        <f ca="1">+F7*F7</f>
        <v>2.0979096506212883E-4</v>
      </c>
      <c r="I7" s="5">
        <f ca="1">+G7*G7</f>
        <v>2.4239564448778505E-5</v>
      </c>
      <c r="J7" s="5">
        <f ca="1">+F7*G7</f>
        <v>7.1310880084282449E-5</v>
      </c>
      <c r="K7" s="8">
        <f ca="1">AVERAGE(J8:J66)</f>
        <v>1.5966219800244889E-4</v>
      </c>
      <c r="L7" t="s">
        <v>9</v>
      </c>
    </row>
    <row r="8" spans="1:12">
      <c r="B8" vm="129">
        <f ca="1"/>
        <v>33.94</v>
      </c>
      <c r="C8" vm="130">
        <f ca="1"/>
        <v>111.05</v>
      </c>
      <c r="D8" s="4">
        <f t="shared" ref="D8:D65" ca="1" si="0">B8/B7-1</f>
        <v>-4.4001173364625057E-3</v>
      </c>
      <c r="E8" s="4">
        <f t="shared" ref="E8:E65" ca="1" si="1">C8/C7-1</f>
        <v>-9.8956459157972798E-4</v>
      </c>
      <c r="F8" s="4">
        <f t="shared" ref="F8:F65" ca="1" si="2">+D8-F$4</f>
        <v>-2.6907616689988085E-3</v>
      </c>
      <c r="G8" s="4">
        <f t="shared" ref="G8:G65" ca="1" si="3">E8-G$4</f>
        <v>8.6576636536878733E-4</v>
      </c>
      <c r="H8" s="5">
        <f t="shared" ref="H8:H65" ca="1" si="4">+F8*F8</f>
        <v>7.2401983593532536E-6</v>
      </c>
      <c r="I8" s="5">
        <f t="shared" ref="I8:I65" ca="1" si="5">+G8*G8</f>
        <v>7.4955139940388053E-7</v>
      </c>
      <c r="J8" s="5">
        <f t="shared" ref="J8:J65" ca="1" si="6">+F8*G8</f>
        <v>-2.3295709502427503E-6</v>
      </c>
      <c r="K8" s="7">
        <f ca="1">_xlfn.COVARIANCE.P(D8:D66,E8:E66)</f>
        <v>1.5964099976223357E-4</v>
      </c>
      <c r="L8" t="s">
        <v>10</v>
      </c>
    </row>
    <row r="9" spans="1:12">
      <c r="B9" vm="131">
        <f ca="1"/>
        <v>33.229999999999997</v>
      </c>
      <c r="C9" vm="132">
        <f ca="1"/>
        <v>111.39</v>
      </c>
      <c r="D9" s="4">
        <f t="shared" ca="1" si="0"/>
        <v>-2.0919269298762533E-2</v>
      </c>
      <c r="E9" s="4">
        <f t="shared" ca="1" si="1"/>
        <v>3.0616839261594642E-3</v>
      </c>
      <c r="F9" s="4">
        <f t="shared" ca="1" si="2"/>
        <v>-1.9209913631298835E-2</v>
      </c>
      <c r="G9" s="4">
        <f t="shared" ca="1" si="3"/>
        <v>4.9170148831079799E-3</v>
      </c>
      <c r="H9" s="5">
        <f t="shared" ca="1" si="4"/>
        <v>3.6902078172196078E-4</v>
      </c>
      <c r="I9" s="5">
        <f t="shared" ca="1" si="5"/>
        <v>2.4177035360705381E-5</v>
      </c>
      <c r="J9" s="5">
        <f t="shared" ca="1" si="6"/>
        <v>-9.4455431228315226E-5</v>
      </c>
      <c r="K9" s="3">
        <f ca="1">+K8/(J4*K4)</f>
        <v>0.36011303143560958</v>
      </c>
      <c r="L9" t="s">
        <v>11</v>
      </c>
    </row>
    <row r="10" spans="1:12">
      <c r="B10" vm="133">
        <f ca="1"/>
        <v>32.69</v>
      </c>
      <c r="C10" vm="134">
        <f ca="1"/>
        <v>109.76</v>
      </c>
      <c r="D10" s="4">
        <f t="shared" ca="1" si="0"/>
        <v>-1.625037616611491E-2</v>
      </c>
      <c r="E10" s="4">
        <f t="shared" ca="1" si="1"/>
        <v>-1.4633270491067329E-2</v>
      </c>
      <c r="F10" s="4">
        <f t="shared" ca="1" si="2"/>
        <v>-1.4541020498651212E-2</v>
      </c>
      <c r="G10" s="4">
        <f t="shared" ca="1" si="3"/>
        <v>-1.2777939534118814E-2</v>
      </c>
      <c r="H10" s="5">
        <f t="shared" ca="1" si="4"/>
        <v>2.1144127714219476E-4</v>
      </c>
      <c r="I10" s="5">
        <f t="shared" ca="1" si="5"/>
        <v>1.6327573873759654E-4</v>
      </c>
      <c r="J10" s="5">
        <f t="shared" ca="1" si="6"/>
        <v>1.8580428069614739E-4</v>
      </c>
    </row>
    <row r="11" spans="1:12">
      <c r="B11" vm="135">
        <f ca="1"/>
        <v>31.87</v>
      </c>
      <c r="C11" vm="136">
        <f ca="1"/>
        <v>108.65</v>
      </c>
      <c r="D11" s="4">
        <f t="shared" ca="1" si="0"/>
        <v>-2.5084123585194185E-2</v>
      </c>
      <c r="E11" s="4">
        <f t="shared" ca="1" si="1"/>
        <v>-1.0112973760932897E-2</v>
      </c>
      <c r="F11" s="4">
        <f t="shared" ca="1" si="2"/>
        <v>-2.3374767917730487E-2</v>
      </c>
      <c r="G11" s="4">
        <f t="shared" ca="1" si="3"/>
        <v>-8.2576428039843816E-3</v>
      </c>
      <c r="H11" s="5">
        <f t="shared" ca="1" si="4"/>
        <v>5.463797752077624E-4</v>
      </c>
      <c r="I11" s="5">
        <f t="shared" ca="1" si="5"/>
        <v>6.8188664678195044E-5</v>
      </c>
      <c r="J11" s="5">
        <f t="shared" ca="1" si="6"/>
        <v>1.9302048409065213E-4</v>
      </c>
    </row>
    <row r="12" spans="1:12">
      <c r="B12" vm="137">
        <f ca="1"/>
        <v>32.33</v>
      </c>
      <c r="C12" vm="138">
        <f ca="1"/>
        <v>108.08</v>
      </c>
      <c r="D12" s="4">
        <f t="shared" ca="1" si="0"/>
        <v>1.4433636648885972E-2</v>
      </c>
      <c r="E12" s="4">
        <f t="shared" ca="1" si="1"/>
        <v>-5.2462034054303608E-3</v>
      </c>
      <c r="F12" s="4">
        <f t="shared" ca="1" si="2"/>
        <v>1.6142992316349671E-2</v>
      </c>
      <c r="G12" s="4">
        <f t="shared" ca="1" si="3"/>
        <v>-3.3908724484818455E-3</v>
      </c>
      <c r="H12" s="5">
        <f t="shared" ca="1" si="4"/>
        <v>2.605962009257245E-4</v>
      </c>
      <c r="I12" s="5">
        <f t="shared" ca="1" si="5"/>
        <v>1.1498015961873266E-5</v>
      </c>
      <c r="J12" s="5">
        <f t="shared" ca="1" si="6"/>
        <v>-5.4738827881564223E-5</v>
      </c>
    </row>
    <row r="13" spans="1:12">
      <c r="B13" vm="139">
        <f ca="1"/>
        <v>33.1</v>
      </c>
      <c r="C13" vm="140">
        <f ca="1"/>
        <v>108.12</v>
      </c>
      <c r="D13" s="4">
        <f t="shared" ca="1" si="0"/>
        <v>2.3816888339004194E-2</v>
      </c>
      <c r="E13" s="4">
        <f t="shared" ca="1" si="1"/>
        <v>3.7009622501860129E-4</v>
      </c>
      <c r="F13" s="4">
        <f t="shared" ca="1" si="2"/>
        <v>2.5526244006467892E-2</v>
      </c>
      <c r="G13" s="4">
        <f t="shared" ca="1" si="3"/>
        <v>2.2254271819671166E-3</v>
      </c>
      <c r="H13" s="5">
        <f t="shared" ca="1" si="4"/>
        <v>6.5158913307773801E-4</v>
      </c>
      <c r="I13" s="5">
        <f t="shared" ca="1" si="5"/>
        <v>4.9525261422381016E-6</v>
      </c>
      <c r="J13" s="5">
        <f t="shared" ca="1" si="6"/>
        <v>5.680679726551884E-5</v>
      </c>
    </row>
    <row r="14" spans="1:12">
      <c r="B14" vm="141">
        <f ca="1"/>
        <v>33</v>
      </c>
      <c r="C14" vm="142">
        <f ca="1"/>
        <v>108.18</v>
      </c>
      <c r="D14" s="4">
        <f t="shared" ca="1" si="0"/>
        <v>-3.0211480362538623E-3</v>
      </c>
      <c r="E14" s="4">
        <f t="shared" ca="1" si="1"/>
        <v>5.5493895671476778E-4</v>
      </c>
      <c r="F14" s="4">
        <f t="shared" ca="1" si="2"/>
        <v>-1.3117923687901651E-3</v>
      </c>
      <c r="G14" s="4">
        <f t="shared" ca="1" si="3"/>
        <v>2.4102699136632831E-3</v>
      </c>
      <c r="H14" s="5">
        <f t="shared" ca="1" si="4"/>
        <v>1.7207992188161125E-6</v>
      </c>
      <c r="I14" s="5">
        <f t="shared" ca="1" si="5"/>
        <v>5.8094010567104102E-6</v>
      </c>
      <c r="J14" s="5">
        <f t="shared" ca="1" si="6"/>
        <v>-3.161773679468025E-6</v>
      </c>
    </row>
    <row r="15" spans="1:12">
      <c r="B15" vm="143">
        <f ca="1"/>
        <v>33.130000000000003</v>
      </c>
      <c r="C15" vm="144">
        <f ca="1"/>
        <v>106.46</v>
      </c>
      <c r="D15" s="4">
        <f t="shared" ca="1" si="0"/>
        <v>3.9393939393939092E-3</v>
      </c>
      <c r="E15" s="4">
        <f t="shared" ca="1" si="1"/>
        <v>-1.5899426881124223E-2</v>
      </c>
      <c r="F15" s="4">
        <f t="shared" ca="1" si="2"/>
        <v>5.6487496068576065E-3</v>
      </c>
      <c r="G15" s="4">
        <f t="shared" ca="1" si="3"/>
        <v>-1.4044095924175708E-2</v>
      </c>
      <c r="H15" s="5">
        <f t="shared" ca="1" si="4"/>
        <v>3.1908372120973961E-5</v>
      </c>
      <c r="I15" s="5">
        <f t="shared" ca="1" si="5"/>
        <v>1.9723663032744873E-4</v>
      </c>
      <c r="J15" s="5">
        <f t="shared" ca="1" si="6"/>
        <v>-7.9331581330358041E-5</v>
      </c>
    </row>
    <row r="16" spans="1:12">
      <c r="B16" vm="145">
        <f ca="1"/>
        <v>32.85</v>
      </c>
      <c r="C16" vm="146">
        <f ca="1"/>
        <v>107.02</v>
      </c>
      <c r="D16" s="4">
        <f t="shared" ca="1" si="0"/>
        <v>-8.4515544823423605E-3</v>
      </c>
      <c r="E16" s="4">
        <f t="shared" ca="1" si="1"/>
        <v>5.2601916212662303E-3</v>
      </c>
      <c r="F16" s="4">
        <f t="shared" ca="1" si="2"/>
        <v>-6.7421988148786633E-3</v>
      </c>
      <c r="G16" s="4">
        <f t="shared" ca="1" si="3"/>
        <v>7.115522578214746E-3</v>
      </c>
      <c r="H16" s="5">
        <f t="shared" ca="1" si="4"/>
        <v>4.5457244859351249E-5</v>
      </c>
      <c r="I16" s="5">
        <f t="shared" ca="1" si="5"/>
        <v>5.0630661561083829E-5</v>
      </c>
      <c r="J16" s="5">
        <f t="shared" ca="1" si="6"/>
        <v>-4.7974267894081828E-5</v>
      </c>
    </row>
    <row r="17" spans="2:10">
      <c r="B17" vm="147">
        <f ca="1"/>
        <v>33.35</v>
      </c>
      <c r="C17" vm="148">
        <f ca="1"/>
        <v>108.7</v>
      </c>
      <c r="D17" s="4">
        <f t="shared" ca="1" si="0"/>
        <v>1.5220700152207112E-2</v>
      </c>
      <c r="E17" s="4">
        <f t="shared" ca="1" si="1"/>
        <v>1.56980003737619E-2</v>
      </c>
      <c r="F17" s="4">
        <f t="shared" ca="1" si="2"/>
        <v>1.693005581967081E-2</v>
      </c>
      <c r="G17" s="4">
        <f t="shared" ca="1" si="3"/>
        <v>1.7553331330710416E-2</v>
      </c>
      <c r="H17" s="5">
        <f t="shared" ca="1" si="4"/>
        <v>2.8662679005716943E-4</v>
      </c>
      <c r="I17" s="5">
        <f t="shared" ca="1" si="5"/>
        <v>3.0811944080569992E-4</v>
      </c>
      <c r="J17" s="5">
        <f t="shared" ca="1" si="6"/>
        <v>2.9717887925010382E-4</v>
      </c>
    </row>
    <row r="18" spans="2:10">
      <c r="B18" vm="149">
        <f ca="1"/>
        <v>32.81</v>
      </c>
      <c r="C18" vm="150">
        <f ca="1"/>
        <v>108.81</v>
      </c>
      <c r="D18" s="4">
        <f t="shared" ca="1" si="0"/>
        <v>-1.6191904047975991E-2</v>
      </c>
      <c r="E18" s="4">
        <f t="shared" ca="1" si="1"/>
        <v>1.0119595216191435E-3</v>
      </c>
      <c r="F18" s="4">
        <f t="shared" ca="1" si="2"/>
        <v>-1.4482548380512293E-2</v>
      </c>
      <c r="G18" s="4">
        <f t="shared" ca="1" si="3"/>
        <v>2.8672904785676588E-3</v>
      </c>
      <c r="H18" s="5">
        <f t="shared" ca="1" si="4"/>
        <v>2.0974420759387925E-4</v>
      </c>
      <c r="I18" s="5">
        <f t="shared" ca="1" si="5"/>
        <v>8.2213546884847541E-6</v>
      </c>
      <c r="J18" s="5">
        <f t="shared" ca="1" si="6"/>
        <v>-4.1525673076838364E-5</v>
      </c>
    </row>
    <row r="19" spans="2:10">
      <c r="B19" vm="151">
        <f ca="1"/>
        <v>33.119999999999997</v>
      </c>
      <c r="C19" vm="152">
        <f ca="1"/>
        <v>111.04</v>
      </c>
      <c r="D19" s="4">
        <f t="shared" ca="1" si="0"/>
        <v>9.4483389210604507E-3</v>
      </c>
      <c r="E19" s="4">
        <f t="shared" ca="1" si="1"/>
        <v>2.0494439849278567E-2</v>
      </c>
      <c r="F19" s="4">
        <f t="shared" ca="1" si="2"/>
        <v>1.1157694588524149E-2</v>
      </c>
      <c r="G19" s="4">
        <f t="shared" ca="1" si="3"/>
        <v>2.2349770806227083E-2</v>
      </c>
      <c r="H19" s="5">
        <f t="shared" ca="1" si="4"/>
        <v>1.2449414853078108E-4</v>
      </c>
      <c r="I19" s="5">
        <f t="shared" ca="1" si="5"/>
        <v>4.9951225509088041E-4</v>
      </c>
      <c r="J19" s="5">
        <f t="shared" ca="1" si="6"/>
        <v>2.4937191677939493E-4</v>
      </c>
    </row>
    <row r="20" spans="2:10">
      <c r="B20" vm="153">
        <f ca="1"/>
        <v>32.89</v>
      </c>
      <c r="C20" vm="154">
        <f ca="1"/>
        <v>112.16</v>
      </c>
      <c r="D20" s="4">
        <f t="shared" ca="1" si="0"/>
        <v>-6.9444444444443088E-3</v>
      </c>
      <c r="E20" s="4">
        <f t="shared" ca="1" si="1"/>
        <v>1.0086455331411948E-2</v>
      </c>
      <c r="F20" s="4">
        <f t="shared" ca="1" si="2"/>
        <v>-5.2350887769806115E-3</v>
      </c>
      <c r="G20" s="4">
        <f t="shared" ca="1" si="3"/>
        <v>1.1941786288360463E-2</v>
      </c>
      <c r="H20" s="5">
        <f t="shared" ca="1" si="4"/>
        <v>2.7406154502868356E-5</v>
      </c>
      <c r="I20" s="5">
        <f t="shared" ca="1" si="5"/>
        <v>1.4260625975687398E-4</v>
      </c>
      <c r="J20" s="5">
        <f t="shared" ca="1" si="6"/>
        <v>-6.2516311375296812E-5</v>
      </c>
    </row>
    <row r="21" spans="2:10">
      <c r="B21" vm="155">
        <f ca="1"/>
        <v>33.56</v>
      </c>
      <c r="C21" vm="156">
        <f ca="1"/>
        <v>113.34</v>
      </c>
      <c r="D21" s="4">
        <f t="shared" ca="1" si="0"/>
        <v>2.0370933414411763E-2</v>
      </c>
      <c r="E21" s="4">
        <f t="shared" ca="1" si="1"/>
        <v>1.0520684736091468E-2</v>
      </c>
      <c r="F21" s="4">
        <f t="shared" ca="1" si="2"/>
        <v>2.2080289081875461E-2</v>
      </c>
      <c r="G21" s="4">
        <f t="shared" ca="1" si="3"/>
        <v>1.2376015693039984E-2</v>
      </c>
      <c r="H21" s="5">
        <f t="shared" ca="1" si="4"/>
        <v>4.8753916593918865E-4</v>
      </c>
      <c r="I21" s="5">
        <f t="shared" ca="1" si="5"/>
        <v>1.5316576443437195E-4</v>
      </c>
      <c r="J21" s="5">
        <f t="shared" ca="1" si="6"/>
        <v>2.7326600418415013E-4</v>
      </c>
    </row>
    <row r="22" spans="2:10">
      <c r="B22" vm="157">
        <f ca="1"/>
        <v>33.5</v>
      </c>
      <c r="C22" vm="158">
        <f ca="1"/>
        <v>112.14</v>
      </c>
      <c r="D22" s="4">
        <f t="shared" ca="1" si="0"/>
        <v>-1.7878426698451078E-3</v>
      </c>
      <c r="E22" s="4">
        <f t="shared" ca="1" si="1"/>
        <v>-1.0587612493382803E-2</v>
      </c>
      <c r="F22" s="4">
        <f t="shared" ca="1" si="2"/>
        <v>-7.8487002381410521E-5</v>
      </c>
      <c r="G22" s="4">
        <f t="shared" ca="1" si="3"/>
        <v>-8.7322815364342873E-3</v>
      </c>
      <c r="H22" s="5">
        <f t="shared" ca="1" si="4"/>
        <v>6.1602095428195413E-9</v>
      </c>
      <c r="I22" s="5">
        <f t="shared" ca="1" si="5"/>
        <v>7.6252740831551162E-5</v>
      </c>
      <c r="J22" s="5">
        <f t="shared" ca="1" si="6"/>
        <v>6.8537060174526502E-7</v>
      </c>
    </row>
    <row r="23" spans="2:10">
      <c r="B23" vm="159">
        <f ca="1"/>
        <v>34.01</v>
      </c>
      <c r="C23" vm="160">
        <f ca="1"/>
        <v>113.19</v>
      </c>
      <c r="D23" s="4">
        <f t="shared" ca="1" si="0"/>
        <v>1.5223880597014849E-2</v>
      </c>
      <c r="E23" s="4">
        <f t="shared" ca="1" si="1"/>
        <v>9.3632958801497246E-3</v>
      </c>
      <c r="F23" s="4">
        <f t="shared" ca="1" si="2"/>
        <v>1.6933236264478548E-2</v>
      </c>
      <c r="G23" s="4">
        <f t="shared" ca="1" si="3"/>
        <v>1.121862683709824E-2</v>
      </c>
      <c r="H23" s="5">
        <f t="shared" ca="1" si="4"/>
        <v>2.8673449038865137E-4</v>
      </c>
      <c r="I23" s="5">
        <f t="shared" ca="1" si="5"/>
        <v>1.2585758811006087E-4</v>
      </c>
      <c r="J23" s="5">
        <f t="shared" ca="1" si="6"/>
        <v>1.899676587956042E-4</v>
      </c>
    </row>
    <row r="24" spans="2:10">
      <c r="B24" vm="161">
        <f ca="1"/>
        <v>34.549999999999997</v>
      </c>
      <c r="C24" vm="162">
        <f ca="1"/>
        <v>113.43</v>
      </c>
      <c r="D24" s="4">
        <f t="shared" ca="1" si="0"/>
        <v>1.5877683034401624E-2</v>
      </c>
      <c r="E24" s="4">
        <f t="shared" ca="1" si="1"/>
        <v>2.120328650941028E-3</v>
      </c>
      <c r="F24" s="4">
        <f t="shared" ca="1" si="2"/>
        <v>1.7587038701865322E-2</v>
      </c>
      <c r="G24" s="4">
        <f t="shared" ca="1" si="3"/>
        <v>3.9756596078895437E-3</v>
      </c>
      <c r="H24" s="5">
        <f t="shared" ca="1" si="4"/>
        <v>3.0930393030090866E-4</v>
      </c>
      <c r="I24" s="5">
        <f t="shared" ca="1" si="5"/>
        <v>1.580586931780444E-5</v>
      </c>
      <c r="J24" s="5">
        <f t="shared" ca="1" si="6"/>
        <v>6.992007938939612E-5</v>
      </c>
    </row>
    <row r="25" spans="2:10">
      <c r="B25" vm="163">
        <f ca="1"/>
        <v>34.479999999999997</v>
      </c>
      <c r="C25" vm="164">
        <f ca="1"/>
        <v>113.06</v>
      </c>
      <c r="D25" s="4">
        <f t="shared" ca="1" si="0"/>
        <v>-2.0260492040521383E-3</v>
      </c>
      <c r="E25" s="4">
        <f t="shared" ca="1" si="1"/>
        <v>-3.261923653354537E-3</v>
      </c>
      <c r="F25" s="4">
        <f t="shared" ca="1" si="2"/>
        <v>-3.1669353658844105E-4</v>
      </c>
      <c r="G25" s="4">
        <f t="shared" ca="1" si="3"/>
        <v>-1.4065926964060217E-3</v>
      </c>
      <c r="H25" s="5">
        <f t="shared" ca="1" si="4"/>
        <v>1.0029479611689425E-7</v>
      </c>
      <c r="I25" s="5">
        <f t="shared" ca="1" si="5"/>
        <v>1.9785030135827629E-6</v>
      </c>
      <c r="J25" s="5">
        <f t="shared" ca="1" si="6"/>
        <v>4.4545881556429442E-7</v>
      </c>
    </row>
    <row r="26" spans="2:10">
      <c r="B26" vm="165">
        <f ca="1"/>
        <v>34.15</v>
      </c>
      <c r="C26" vm="166">
        <f ca="1"/>
        <v>114</v>
      </c>
      <c r="D26" s="4">
        <f t="shared" ca="1" si="0"/>
        <v>-9.5707656612528114E-3</v>
      </c>
      <c r="E26" s="4">
        <f t="shared" ca="1" si="1"/>
        <v>8.3141694675392674E-3</v>
      </c>
      <c r="F26" s="4">
        <f t="shared" ca="1" si="2"/>
        <v>-7.8614099937891133E-3</v>
      </c>
      <c r="G26" s="4">
        <f t="shared" ca="1" si="3"/>
        <v>1.0169500424487783E-2</v>
      </c>
      <c r="H26" s="5">
        <f t="shared" ca="1" si="4"/>
        <v>6.1801767090447342E-5</v>
      </c>
      <c r="I26" s="5">
        <f t="shared" ca="1" si="5"/>
        <v>1.034187388836572E-4</v>
      </c>
      <c r="J26" s="5">
        <f t="shared" ca="1" si="6"/>
        <v>-7.9946612268910888E-5</v>
      </c>
    </row>
    <row r="27" spans="2:10">
      <c r="B27" vm="161">
        <f ca="1"/>
        <v>34.549999999999997</v>
      </c>
      <c r="C27" vm="167">
        <f ca="1"/>
        <v>113.3</v>
      </c>
      <c r="D27" s="4">
        <f t="shared" ca="1" si="0"/>
        <v>1.171303074670571E-2</v>
      </c>
      <c r="E27" s="4">
        <f t="shared" ca="1" si="1"/>
        <v>-6.1403508771930015E-3</v>
      </c>
      <c r="F27" s="4">
        <f t="shared" ca="1" si="2"/>
        <v>1.3422386414169409E-2</v>
      </c>
      <c r="G27" s="4">
        <f t="shared" ca="1" si="3"/>
        <v>-4.2850199202444858E-3</v>
      </c>
      <c r="H27" s="5">
        <f t="shared" ca="1" si="4"/>
        <v>1.8016045705127951E-4</v>
      </c>
      <c r="I27" s="5">
        <f t="shared" ca="1" si="5"/>
        <v>1.8361395716892061E-5</v>
      </c>
      <c r="J27" s="5">
        <f t="shared" ca="1" si="6"/>
        <v>-5.7515193161934866E-5</v>
      </c>
    </row>
    <row r="28" spans="2:10">
      <c r="B28" vm="168">
        <f ca="1"/>
        <v>34.24</v>
      </c>
      <c r="C28" vm="169">
        <f ca="1"/>
        <v>110.54</v>
      </c>
      <c r="D28" s="4">
        <f t="shared" ca="1" si="0"/>
        <v>-8.9725036179448825E-3</v>
      </c>
      <c r="E28" s="4">
        <f t="shared" ca="1" si="1"/>
        <v>-2.4360105913503904E-2</v>
      </c>
      <c r="F28" s="4">
        <f t="shared" ca="1" si="2"/>
        <v>-7.2631479504811853E-3</v>
      </c>
      <c r="G28" s="4">
        <f t="shared" ca="1" si="3"/>
        <v>-2.2504774956555389E-2</v>
      </c>
      <c r="H28" s="5">
        <f t="shared" ca="1" si="4"/>
        <v>5.2753318150579044E-5</v>
      </c>
      <c r="I28" s="5">
        <f t="shared" ca="1" si="5"/>
        <v>5.0646489584520258E-4</v>
      </c>
      <c r="J28" s="5">
        <f t="shared" ca="1" si="6"/>
        <v>1.6345551010174558E-4</v>
      </c>
    </row>
    <row r="29" spans="2:10">
      <c r="B29" vm="163">
        <f ca="1"/>
        <v>34.479999999999997</v>
      </c>
      <c r="C29" vm="170">
        <f ca="1"/>
        <v>112.09</v>
      </c>
      <c r="D29" s="4">
        <f t="shared" ca="1" si="0"/>
        <v>7.0093457943922743E-3</v>
      </c>
      <c r="E29" s="4">
        <f t="shared" ca="1" si="1"/>
        <v>1.4022073457572004E-2</v>
      </c>
      <c r="F29" s="4">
        <f t="shared" ca="1" si="2"/>
        <v>8.7187014618559724E-3</v>
      </c>
      <c r="G29" s="4">
        <f t="shared" ca="1" si="3"/>
        <v>1.587740441452052E-2</v>
      </c>
      <c r="H29" s="5">
        <f t="shared" ca="1" si="4"/>
        <v>7.6015755180969472E-5</v>
      </c>
      <c r="I29" s="5">
        <f t="shared" ca="1" si="5"/>
        <v>2.5209197094223571E-4</v>
      </c>
      <c r="J29" s="5">
        <f t="shared" ca="1" si="6"/>
        <v>1.3843034907935853E-4</v>
      </c>
    </row>
    <row r="30" spans="2:10">
      <c r="B30" vm="171">
        <f ca="1"/>
        <v>34.57</v>
      </c>
      <c r="C30" vm="172">
        <f ca="1"/>
        <v>110.86</v>
      </c>
      <c r="D30" s="4">
        <f t="shared" ca="1" si="0"/>
        <v>2.6102088167054838E-3</v>
      </c>
      <c r="E30" s="4">
        <f t="shared" ca="1" si="1"/>
        <v>-1.0973325006691126E-2</v>
      </c>
      <c r="F30" s="4">
        <f t="shared" ca="1" si="2"/>
        <v>4.319564484169181E-3</v>
      </c>
      <c r="G30" s="4">
        <f t="shared" ca="1" si="3"/>
        <v>-9.1179940497426101E-3</v>
      </c>
      <c r="H30" s="5">
        <f t="shared" ca="1" si="4"/>
        <v>1.8658637332895762E-5</v>
      </c>
      <c r="I30" s="5">
        <f t="shared" ca="1" si="5"/>
        <v>8.3137815491141643E-5</v>
      </c>
      <c r="J30" s="5">
        <f t="shared" ca="1" si="6"/>
        <v>-3.9385763264134103E-5</v>
      </c>
    </row>
    <row r="31" spans="2:10">
      <c r="B31" vm="173">
        <f ca="1"/>
        <v>34.36</v>
      </c>
      <c r="C31" vm="174">
        <f ca="1"/>
        <v>109.28</v>
      </c>
      <c r="D31" s="4">
        <f t="shared" ca="1" si="0"/>
        <v>-6.0746311831068045E-3</v>
      </c>
      <c r="E31" s="4">
        <f t="shared" ca="1" si="1"/>
        <v>-1.4252209994587761E-2</v>
      </c>
      <c r="F31" s="4">
        <f t="shared" ca="1" si="2"/>
        <v>-4.3652755156431073E-3</v>
      </c>
      <c r="G31" s="4">
        <f t="shared" ca="1" si="3"/>
        <v>-1.2396879037639245E-2</v>
      </c>
      <c r="H31" s="5">
        <f t="shared" ca="1" si="4"/>
        <v>1.9055630327473196E-5</v>
      </c>
      <c r="I31" s="5">
        <f t="shared" ca="1" si="5"/>
        <v>1.5368260987385935E-4</v>
      </c>
      <c r="J31" s="5">
        <f t="shared" ca="1" si="6"/>
        <v>5.4115792533395884E-5</v>
      </c>
    </row>
    <row r="32" spans="2:10">
      <c r="B32" vm="175">
        <f ca="1"/>
        <v>34.270000000000003</v>
      </c>
      <c r="C32" vm="176">
        <f ca="1"/>
        <v>109.02</v>
      </c>
      <c r="D32" s="4">
        <f t="shared" ca="1" si="0"/>
        <v>-2.6193247962745803E-3</v>
      </c>
      <c r="E32" s="4">
        <f t="shared" ca="1" si="1"/>
        <v>-2.3792093704246842E-3</v>
      </c>
      <c r="F32" s="4">
        <f t="shared" ca="1" si="2"/>
        <v>-9.0996912881088302E-4</v>
      </c>
      <c r="G32" s="4">
        <f t="shared" ca="1" si="3"/>
        <v>-5.2387841347616886E-4</v>
      </c>
      <c r="H32" s="5">
        <f t="shared" ca="1" si="4"/>
        <v>8.2804381538883743E-7</v>
      </c>
      <c r="I32" s="5">
        <f t="shared" ca="1" si="5"/>
        <v>2.7444859210630772E-7</v>
      </c>
      <c r="J32" s="5">
        <f t="shared" ca="1" si="6"/>
        <v>4.7671318351373696E-7</v>
      </c>
    </row>
    <row r="33" spans="2:10">
      <c r="B33" vm="177">
        <f ca="1"/>
        <v>34.369999999999997</v>
      </c>
      <c r="C33" vm="178">
        <f ca="1"/>
        <v>109.23</v>
      </c>
      <c r="D33" s="4">
        <f t="shared" ca="1" si="0"/>
        <v>2.9180040852054834E-3</v>
      </c>
      <c r="E33" s="4">
        <f t="shared" ca="1" si="1"/>
        <v>1.9262520638416714E-3</v>
      </c>
      <c r="F33" s="4">
        <f t="shared" ca="1" si="2"/>
        <v>4.6273597526691806E-3</v>
      </c>
      <c r="G33" s="4">
        <f t="shared" ca="1" si="3"/>
        <v>3.7815830207901867E-3</v>
      </c>
      <c r="H33" s="5">
        <f t="shared" ca="1" si="4"/>
        <v>2.1412458280622582E-5</v>
      </c>
      <c r="I33" s="5">
        <f t="shared" ca="1" si="5"/>
        <v>1.4300370143128633E-5</v>
      </c>
      <c r="J33" s="5">
        <f t="shared" ca="1" si="6"/>
        <v>1.749874507178165E-5</v>
      </c>
    </row>
    <row r="34" spans="2:10">
      <c r="B34" vm="179">
        <f ca="1"/>
        <v>40.369999999999997</v>
      </c>
      <c r="C34" vm="180">
        <f ca="1"/>
        <v>109.59</v>
      </c>
      <c r="D34" s="4">
        <f t="shared" ca="1" si="0"/>
        <v>0.17457084666860645</v>
      </c>
      <c r="E34" s="4">
        <f t="shared" ca="1" si="1"/>
        <v>3.2957978577314861E-3</v>
      </c>
      <c r="F34" s="4">
        <f t="shared" ca="1" si="2"/>
        <v>0.17628020233607014</v>
      </c>
      <c r="G34" s="4">
        <f t="shared" ca="1" si="3"/>
        <v>5.1511288146800019E-3</v>
      </c>
      <c r="H34" s="5">
        <f t="shared" ca="1" si="4"/>
        <v>3.1074709735645828E-2</v>
      </c>
      <c r="I34" s="5">
        <f t="shared" ca="1" si="5"/>
        <v>2.6534128065426601E-5</v>
      </c>
      <c r="J34" s="5">
        <f t="shared" ca="1" si="6"/>
        <v>9.0804202971095187E-4</v>
      </c>
    </row>
    <row r="35" spans="2:10">
      <c r="B35" vm="181">
        <f ca="1"/>
        <v>39.81</v>
      </c>
      <c r="C35" vm="182">
        <f ca="1"/>
        <v>110.38</v>
      </c>
      <c r="D35" s="4">
        <f t="shared" ca="1" si="0"/>
        <v>-1.3871686896209989E-2</v>
      </c>
      <c r="E35" s="4">
        <f t="shared" ca="1" si="1"/>
        <v>7.2086869239893492E-3</v>
      </c>
      <c r="F35" s="4">
        <f t="shared" ca="1" si="2"/>
        <v>-1.2162331228746291E-2</v>
      </c>
      <c r="G35" s="4">
        <f t="shared" ca="1" si="3"/>
        <v>9.0640178809378649E-3</v>
      </c>
      <c r="H35" s="5">
        <f t="shared" ca="1" si="4"/>
        <v>1.4792230091773727E-4</v>
      </c>
      <c r="I35" s="5">
        <f t="shared" ca="1" si="5"/>
        <v>8.2156420145961347E-5</v>
      </c>
      <c r="J35" s="5">
        <f t="shared" ca="1" si="6"/>
        <v>-1.1023958773124537E-4</v>
      </c>
    </row>
    <row r="36" spans="2:10">
      <c r="B36" vm="183">
        <f ca="1"/>
        <v>38.07</v>
      </c>
      <c r="C36" vm="184">
        <f ca="1"/>
        <v>109.56</v>
      </c>
      <c r="D36" s="4">
        <f t="shared" ca="1" si="0"/>
        <v>-4.3707611152976722E-2</v>
      </c>
      <c r="E36" s="4">
        <f t="shared" ca="1" si="1"/>
        <v>-7.4288820438485059E-3</v>
      </c>
      <c r="F36" s="4">
        <f t="shared" ca="1" si="2"/>
        <v>-4.1998255485513024E-2</v>
      </c>
      <c r="G36" s="4">
        <f t="shared" ca="1" si="3"/>
        <v>-5.5735510868999902E-3</v>
      </c>
      <c r="H36" s="5">
        <f t="shared" ca="1" si="4"/>
        <v>1.7638534638264249E-3</v>
      </c>
      <c r="I36" s="5">
        <f t="shared" ca="1" si="5"/>
        <v>3.1064471718284062E-5</v>
      </c>
      <c r="J36" s="5">
        <f t="shared" ca="1" si="6"/>
        <v>2.3407942250918459E-4</v>
      </c>
    </row>
    <row r="37" spans="2:10">
      <c r="B37" vm="185">
        <f ca="1"/>
        <v>38.340000000000003</v>
      </c>
      <c r="C37" vm="186">
        <f ca="1"/>
        <v>111.35</v>
      </c>
      <c r="D37" s="4">
        <f t="shared" ca="1" si="0"/>
        <v>7.0921985815604049E-3</v>
      </c>
      <c r="E37" s="4">
        <f t="shared" ca="1" si="1"/>
        <v>1.6338079591091459E-2</v>
      </c>
      <c r="F37" s="4">
        <f t="shared" ca="1" si="2"/>
        <v>8.801554249024103E-3</v>
      </c>
      <c r="G37" s="4">
        <f t="shared" ca="1" si="3"/>
        <v>1.8193410548039975E-2</v>
      </c>
      <c r="H37" s="5">
        <f t="shared" ca="1" si="4"/>
        <v>7.7467357198514238E-5</v>
      </c>
      <c r="I37" s="5">
        <f t="shared" ca="1" si="5"/>
        <v>3.3100018736953218E-4</v>
      </c>
      <c r="J37" s="5">
        <f t="shared" ca="1" si="6"/>
        <v>1.6013028991334116E-4</v>
      </c>
    </row>
    <row r="38" spans="2:10">
      <c r="B38" vm="187">
        <f ca="1"/>
        <v>38.299999999999997</v>
      </c>
      <c r="C38" vm="188">
        <f ca="1"/>
        <v>110.55</v>
      </c>
      <c r="D38" s="4">
        <f t="shared" ca="1" si="0"/>
        <v>-1.0432968179449054E-3</v>
      </c>
      <c r="E38" s="4">
        <f t="shared" ca="1" si="1"/>
        <v>-7.1845532105971888E-3</v>
      </c>
      <c r="F38" s="4">
        <f t="shared" ca="1" si="2"/>
        <v>6.6605884951879187E-4</v>
      </c>
      <c r="G38" s="4">
        <f t="shared" ca="1" si="3"/>
        <v>-5.329222253648673E-3</v>
      </c>
      <c r="H38" s="5">
        <f t="shared" ca="1" si="4"/>
        <v>4.4363439102229661E-7</v>
      </c>
      <c r="I38" s="5">
        <f t="shared" ca="1" si="5"/>
        <v>2.8400609828784241E-5</v>
      </c>
      <c r="J38" s="5">
        <f t="shared" ca="1" si="6"/>
        <v>-3.5495756430951783E-6</v>
      </c>
    </row>
    <row r="39" spans="2:10">
      <c r="B39" vm="189">
        <f ca="1"/>
        <v>36</v>
      </c>
      <c r="C39" vm="190">
        <f ca="1"/>
        <v>108.66</v>
      </c>
      <c r="D39" s="4">
        <f t="shared" ca="1" si="0"/>
        <v>-6.0052219321148792E-2</v>
      </c>
      <c r="E39" s="4">
        <f t="shared" ca="1" si="1"/>
        <v>-1.7096336499321629E-2</v>
      </c>
      <c r="F39" s="4">
        <f t="shared" ca="1" si="2"/>
        <v>-5.8342863653685094E-2</v>
      </c>
      <c r="G39" s="4">
        <f t="shared" ca="1" si="3"/>
        <v>-1.5241005542373114E-2</v>
      </c>
      <c r="H39" s="5">
        <f t="shared" ca="1" si="4"/>
        <v>3.4038897393124891E-3</v>
      </c>
      <c r="I39" s="5">
        <f t="shared" ca="1" si="5"/>
        <v>2.3228824994264797E-4</v>
      </c>
      <c r="J39" s="5">
        <f t="shared" ca="1" si="6"/>
        <v>8.8920390830373342E-4</v>
      </c>
    </row>
    <row r="40" spans="2:10">
      <c r="B40" vm="191">
        <f ca="1"/>
        <v>36.369999999999997</v>
      </c>
      <c r="C40" vm="192">
        <f ca="1"/>
        <v>111.2</v>
      </c>
      <c r="D40" s="4">
        <f t="shared" ca="1" si="0"/>
        <v>1.0277777777777608E-2</v>
      </c>
      <c r="E40" s="4">
        <f t="shared" ca="1" si="1"/>
        <v>2.3375667218847873E-2</v>
      </c>
      <c r="F40" s="4">
        <f t="shared" ca="1" si="2"/>
        <v>1.1987133445241306E-2</v>
      </c>
      <c r="G40" s="4">
        <f t="shared" ca="1" si="3"/>
        <v>2.5230998175796389E-2</v>
      </c>
      <c r="H40" s="5">
        <f t="shared" ca="1" si="4"/>
        <v>1.4369136823402272E-4</v>
      </c>
      <c r="I40" s="5">
        <f t="shared" ca="1" si="5"/>
        <v>6.3660326894704065E-4</v>
      </c>
      <c r="J40" s="5">
        <f t="shared" ca="1" si="6"/>
        <v>3.0244734208991126E-4</v>
      </c>
    </row>
    <row r="41" spans="2:10">
      <c r="B41" vm="193">
        <f ca="1"/>
        <v>35.520000000000003</v>
      </c>
      <c r="C41" vm="194">
        <f ca="1"/>
        <v>110.53</v>
      </c>
      <c r="D41" s="4">
        <f t="shared" ca="1" si="0"/>
        <v>-2.3370910090733998E-2</v>
      </c>
      <c r="E41" s="4">
        <f t="shared" ca="1" si="1"/>
        <v>-6.0251798561151704E-3</v>
      </c>
      <c r="F41" s="4">
        <f t="shared" ca="1" si="2"/>
        <v>-2.16615544232703E-2</v>
      </c>
      <c r="G41" s="4">
        <f t="shared" ca="1" si="3"/>
        <v>-4.1698488991666546E-3</v>
      </c>
      <c r="H41" s="5">
        <f t="shared" ca="1" si="4"/>
        <v>4.6922294003230112E-4</v>
      </c>
      <c r="I41" s="5">
        <f t="shared" ca="1" si="5"/>
        <v>1.738763984188136E-5</v>
      </c>
      <c r="J41" s="5">
        <f t="shared" ca="1" si="6"/>
        <v>9.0325408866112245E-5</v>
      </c>
    </row>
    <row r="42" spans="2:10">
      <c r="B42" vm="195">
        <f ca="1"/>
        <v>35.17</v>
      </c>
      <c r="C42" vm="196">
        <f ca="1"/>
        <v>111.83</v>
      </c>
      <c r="D42" s="4">
        <f t="shared" ca="1" si="0"/>
        <v>-9.8536036036036556E-3</v>
      </c>
      <c r="E42" s="4">
        <f t="shared" ca="1" si="1"/>
        <v>1.1761512711480959E-2</v>
      </c>
      <c r="F42" s="4">
        <f t="shared" ca="1" si="2"/>
        <v>-8.1442479361399575E-3</v>
      </c>
      <c r="G42" s="4">
        <f t="shared" ca="1" si="3"/>
        <v>1.3616843668429475E-2</v>
      </c>
      <c r="H42" s="5">
        <f t="shared" ca="1" si="4"/>
        <v>6.6328774445319959E-5</v>
      </c>
      <c r="I42" s="5">
        <f t="shared" ca="1" si="5"/>
        <v>1.8541843149044788E-4</v>
      </c>
      <c r="J42" s="5">
        <f t="shared" ca="1" si="6"/>
        <v>-1.108989509433472E-4</v>
      </c>
    </row>
    <row r="43" spans="2:10">
      <c r="B43" vm="197">
        <f ca="1"/>
        <v>34.67</v>
      </c>
      <c r="C43" vm="198">
        <f ca="1"/>
        <v>111.31</v>
      </c>
      <c r="D43" s="4">
        <f t="shared" ca="1" si="0"/>
        <v>-1.4216661927779373E-2</v>
      </c>
      <c r="E43" s="4">
        <f t="shared" ca="1" si="1"/>
        <v>-4.649915049628861E-3</v>
      </c>
      <c r="F43" s="4">
        <f t="shared" ca="1" si="2"/>
        <v>-1.2507306260315675E-2</v>
      </c>
      <c r="G43" s="4">
        <f t="shared" ca="1" si="3"/>
        <v>-2.7945840926803457E-3</v>
      </c>
      <c r="H43" s="5">
        <f t="shared" ca="1" si="4"/>
        <v>1.5643270988933167E-4</v>
      </c>
      <c r="I43" s="5">
        <f t="shared" ca="1" si="5"/>
        <v>7.8097002510620317E-6</v>
      </c>
      <c r="J43" s="5">
        <f t="shared" ca="1" si="6"/>
        <v>3.4952719117359485E-5</v>
      </c>
    </row>
    <row r="44" spans="2:10">
      <c r="B44" vm="199">
        <f ca="1"/>
        <v>34.76</v>
      </c>
      <c r="C44" vm="200">
        <f ca="1"/>
        <v>113.8</v>
      </c>
      <c r="D44" s="4">
        <f t="shared" ca="1" si="0"/>
        <v>2.5959042399767984E-3</v>
      </c>
      <c r="E44" s="4">
        <f t="shared" ca="1" si="1"/>
        <v>2.2369957775581595E-2</v>
      </c>
      <c r="F44" s="4">
        <f t="shared" ca="1" si="2"/>
        <v>4.3052599074404957E-3</v>
      </c>
      <c r="G44" s="4">
        <f t="shared" ca="1" si="3"/>
        <v>2.4225288732530111E-2</v>
      </c>
      <c r="H44" s="5">
        <f t="shared" ca="1" si="4"/>
        <v>1.8535262870614546E-5</v>
      </c>
      <c r="I44" s="5">
        <f t="shared" ca="1" si="5"/>
        <v>5.8686461417445032E-4</v>
      </c>
      <c r="J44" s="5">
        <f t="shared" ca="1" si="6"/>
        <v>1.0429616432633187E-4</v>
      </c>
    </row>
    <row r="45" spans="2:10">
      <c r="B45" vm="201">
        <f ca="1"/>
        <v>33.19</v>
      </c>
      <c r="C45" vm="202">
        <f ca="1"/>
        <v>112.79</v>
      </c>
      <c r="D45" s="4">
        <f t="shared" ca="1" si="0"/>
        <v>-4.5166858457997727E-2</v>
      </c>
      <c r="E45" s="4">
        <f t="shared" ca="1" si="1"/>
        <v>-8.8752196836554553E-3</v>
      </c>
      <c r="F45" s="4">
        <f t="shared" ca="1" si="2"/>
        <v>-4.3457502790534029E-2</v>
      </c>
      <c r="G45" s="4">
        <f t="shared" ca="1" si="3"/>
        <v>-7.0198887267069396E-3</v>
      </c>
      <c r="H45" s="5">
        <f t="shared" ca="1" si="4"/>
        <v>1.8885545487892729E-3</v>
      </c>
      <c r="I45" s="5">
        <f t="shared" ca="1" si="5"/>
        <v>4.9278837735347175E-5</v>
      </c>
      <c r="J45" s="5">
        <f t="shared" ca="1" si="6"/>
        <v>3.050668339301052E-4</v>
      </c>
    </row>
    <row r="46" spans="2:10">
      <c r="B46" vm="203">
        <f ca="1"/>
        <v>32.61</v>
      </c>
      <c r="C46" vm="204">
        <f ca="1"/>
        <v>109.01</v>
      </c>
      <c r="D46" s="4">
        <f t="shared" ca="1" si="0"/>
        <v>-1.7475143115396108E-2</v>
      </c>
      <c r="E46" s="4">
        <f t="shared" ca="1" si="1"/>
        <v>-3.3513609362532115E-2</v>
      </c>
      <c r="F46" s="4">
        <f t="shared" ca="1" si="2"/>
        <v>-1.576578744793241E-2</v>
      </c>
      <c r="G46" s="4">
        <f t="shared" ca="1" si="3"/>
        <v>-3.1658278405583599E-2</v>
      </c>
      <c r="H46" s="5">
        <f t="shared" ca="1" si="4"/>
        <v>2.4856005385338312E-4</v>
      </c>
      <c r="I46" s="5">
        <f t="shared" ca="1" si="5"/>
        <v>1.0022465916054409E-3</v>
      </c>
      <c r="J46" s="5">
        <f t="shared" ca="1" si="6"/>
        <v>4.9911768830989962E-4</v>
      </c>
    </row>
    <row r="47" spans="2:10">
      <c r="B47" vm="205">
        <f ca="1"/>
        <v>32.83</v>
      </c>
      <c r="C47" vm="206">
        <f ca="1"/>
        <v>109.31</v>
      </c>
      <c r="D47" s="4">
        <f t="shared" ca="1" si="0"/>
        <v>6.7463968107941419E-3</v>
      </c>
      <c r="E47" s="4">
        <f t="shared" ca="1" si="1"/>
        <v>2.7520410971471065E-3</v>
      </c>
      <c r="F47" s="4">
        <f t="shared" ca="1" si="2"/>
        <v>8.45575247825784E-3</v>
      </c>
      <c r="G47" s="4">
        <f t="shared" ca="1" si="3"/>
        <v>4.6073720540956223E-3</v>
      </c>
      <c r="H47" s="5">
        <f t="shared" ca="1" si="4"/>
        <v>7.14997499735636E-5</v>
      </c>
      <c r="I47" s="5">
        <f t="shared" ca="1" si="5"/>
        <v>2.1227877244861315E-5</v>
      </c>
      <c r="J47" s="5">
        <f t="shared" ca="1" si="6"/>
        <v>3.8958797664674976E-5</v>
      </c>
    </row>
    <row r="48" spans="2:10">
      <c r="B48" vm="207">
        <f ca="1"/>
        <v>31.64</v>
      </c>
      <c r="C48" vm="208">
        <f ca="1"/>
        <v>105.43</v>
      </c>
      <c r="D48" s="4">
        <f t="shared" ca="1" si="0"/>
        <v>-3.6247334754797356E-2</v>
      </c>
      <c r="E48" s="4">
        <f t="shared" ca="1" si="1"/>
        <v>-3.5495380111609132E-2</v>
      </c>
      <c r="F48" s="4">
        <f t="shared" ca="1" si="2"/>
        <v>-3.4537979087333658E-2</v>
      </c>
      <c r="G48" s="4">
        <f t="shared" ca="1" si="3"/>
        <v>-3.3640049154660616E-2</v>
      </c>
      <c r="H48" s="5">
        <f t="shared" ca="1" si="4"/>
        <v>1.192871999437097E-3</v>
      </c>
      <c r="I48" s="5">
        <f t="shared" ca="1" si="5"/>
        <v>1.1316529071279825E-3</v>
      </c>
      <c r="J48" s="5">
        <f t="shared" ca="1" si="6"/>
        <v>1.1618593142005446E-3</v>
      </c>
    </row>
    <row r="49" spans="2:10">
      <c r="B49" vm="209">
        <f ca="1"/>
        <v>32.03</v>
      </c>
      <c r="C49" vm="210">
        <f ca="1"/>
        <v>105.51</v>
      </c>
      <c r="D49" s="4">
        <f t="shared" ca="1" si="0"/>
        <v>1.2326169405815435E-2</v>
      </c>
      <c r="E49" s="4">
        <f t="shared" ca="1" si="1"/>
        <v>7.5879730626948749E-4</v>
      </c>
      <c r="F49" s="4">
        <f t="shared" ca="1" si="2"/>
        <v>1.4035525073279133E-2</v>
      </c>
      <c r="G49" s="4">
        <f t="shared" ca="1" si="3"/>
        <v>2.6141282632180028E-3</v>
      </c>
      <c r="H49" s="5">
        <f t="shared" ca="1" si="4"/>
        <v>1.969959640826472E-4</v>
      </c>
      <c r="I49" s="5">
        <f t="shared" ca="1" si="5"/>
        <v>6.8336665765551719E-6</v>
      </c>
      <c r="J49" s="5">
        <f t="shared" ca="1" si="6"/>
        <v>3.6690662783163912E-5</v>
      </c>
    </row>
    <row r="50" spans="2:10">
      <c r="B50" vm="211">
        <f ca="1"/>
        <v>31.89</v>
      </c>
      <c r="C50" vm="212">
        <f ca="1"/>
        <v>103.08</v>
      </c>
      <c r="D50" s="4">
        <f t="shared" ca="1" si="0"/>
        <v>-4.3709022791132979E-3</v>
      </c>
      <c r="E50" s="4">
        <f t="shared" ca="1" si="1"/>
        <v>-2.3030992323002653E-2</v>
      </c>
      <c r="F50" s="4">
        <f t="shared" ca="1" si="2"/>
        <v>-2.6615466116496006E-3</v>
      </c>
      <c r="G50" s="4">
        <f t="shared" ca="1" si="3"/>
        <v>-2.1175661366054137E-2</v>
      </c>
      <c r="H50" s="5">
        <f t="shared" ca="1" si="4"/>
        <v>7.0838303659834702E-6</v>
      </c>
      <c r="I50" s="5">
        <f t="shared" ca="1" si="5"/>
        <v>4.4840863428979773E-4</v>
      </c>
      <c r="J50" s="5">
        <f t="shared" ca="1" si="6"/>
        <v>5.6360009758260744E-5</v>
      </c>
    </row>
    <row r="51" spans="2:10">
      <c r="B51" vm="213">
        <f ca="1"/>
        <v>31.29</v>
      </c>
      <c r="C51" vm="214">
        <f ca="1"/>
        <v>97.9</v>
      </c>
      <c r="D51" s="4">
        <f t="shared" ca="1" si="0"/>
        <v>-1.8814675446848561E-2</v>
      </c>
      <c r="E51" s="4">
        <f t="shared" ca="1" si="1"/>
        <v>-5.0252231276678216E-2</v>
      </c>
      <c r="F51" s="4">
        <f t="shared" ca="1" si="2"/>
        <v>-1.7105319779384863E-2</v>
      </c>
      <c r="G51" s="4">
        <f t="shared" ca="1" si="3"/>
        <v>-4.8396900319729701E-2</v>
      </c>
      <c r="H51" s="5">
        <f t="shared" ca="1" si="4"/>
        <v>2.92591964755015E-4</v>
      </c>
      <c r="I51" s="5">
        <f t="shared" ca="1" si="5"/>
        <v>2.3422599605578526E-3</v>
      </c>
      <c r="J51" s="5">
        <f t="shared" ca="1" si="6"/>
        <v>8.2784445629999009E-4</v>
      </c>
    </row>
    <row r="52" spans="2:10">
      <c r="B52" vm="215">
        <f ca="1"/>
        <v>30.99</v>
      </c>
      <c r="C52" vm="216">
        <f ca="1"/>
        <v>98.76</v>
      </c>
      <c r="D52" s="4">
        <f t="shared" ca="1" si="0"/>
        <v>-9.5877277085331114E-3</v>
      </c>
      <c r="E52" s="4">
        <f t="shared" ca="1" si="1"/>
        <v>8.7844739530131832E-3</v>
      </c>
      <c r="F52" s="4">
        <f t="shared" ca="1" si="2"/>
        <v>-7.8783720410694133E-3</v>
      </c>
      <c r="G52" s="4">
        <f t="shared" ca="1" si="3"/>
        <v>1.0639804909961699E-2</v>
      </c>
      <c r="H52" s="5">
        <f t="shared" ca="1" si="4"/>
        <v>6.2068746017504231E-5</v>
      </c>
      <c r="I52" s="5">
        <f t="shared" ca="1" si="5"/>
        <v>1.1320544852204508E-4</v>
      </c>
      <c r="J52" s="5">
        <f t="shared" ca="1" si="6"/>
        <v>-8.3824341525075313E-5</v>
      </c>
    </row>
    <row r="53" spans="2:10">
      <c r="B53" vm="217">
        <f ca="1"/>
        <v>30.16</v>
      </c>
      <c r="C53" vm="218">
        <f ca="1"/>
        <v>96.87</v>
      </c>
      <c r="D53" s="4">
        <f t="shared" ca="1" si="0"/>
        <v>-2.6782833171990927E-2</v>
      </c>
      <c r="E53" s="4">
        <f t="shared" ca="1" si="1"/>
        <v>-1.9137302551640367E-2</v>
      </c>
      <c r="F53" s="4">
        <f t="shared" ca="1" si="2"/>
        <v>-2.5073477504527229E-2</v>
      </c>
      <c r="G53" s="4">
        <f t="shared" ca="1" si="3"/>
        <v>-1.7281971594691851E-2</v>
      </c>
      <c r="H53" s="5">
        <f t="shared" ca="1" si="4"/>
        <v>6.2867927417003297E-4</v>
      </c>
      <c r="I53" s="5">
        <f t="shared" ca="1" si="5"/>
        <v>2.9866654219973601E-4</v>
      </c>
      <c r="J53" s="5">
        <f t="shared" ca="1" si="6"/>
        <v>4.3331912601338472E-4</v>
      </c>
    </row>
    <row r="54" spans="2:10">
      <c r="B54" vm="219">
        <f ca="1"/>
        <v>31.76</v>
      </c>
      <c r="C54" vm="220">
        <f ca="1"/>
        <v>98.64</v>
      </c>
      <c r="D54" s="4">
        <f t="shared" ca="1" si="0"/>
        <v>5.3050397877984157E-2</v>
      </c>
      <c r="E54" s="4">
        <f t="shared" ca="1" si="1"/>
        <v>1.8271910808299818E-2</v>
      </c>
      <c r="F54" s="4">
        <f t="shared" ca="1" si="2"/>
        <v>5.4759753545447855E-2</v>
      </c>
      <c r="G54" s="4">
        <f t="shared" ca="1" si="3"/>
        <v>2.0127241765248334E-2</v>
      </c>
      <c r="H54" s="5">
        <f t="shared" ca="1" si="4"/>
        <v>2.9986306083581889E-3</v>
      </c>
      <c r="I54" s="5">
        <f t="shared" ca="1" si="5"/>
        <v>4.0510586107675689E-4</v>
      </c>
      <c r="J54" s="5">
        <f t="shared" ca="1" si="6"/>
        <v>1.1021627986146437E-3</v>
      </c>
    </row>
    <row r="55" spans="2:10">
      <c r="B55" vm="221">
        <f ca="1"/>
        <v>32.42</v>
      </c>
      <c r="C55" vm="222">
        <f ca="1"/>
        <v>99.36</v>
      </c>
      <c r="D55" s="4">
        <f t="shared" ca="1" si="0"/>
        <v>2.0780856423173732E-2</v>
      </c>
      <c r="E55" s="4">
        <f t="shared" ca="1" si="1"/>
        <v>7.2992700729925808E-3</v>
      </c>
      <c r="F55" s="4">
        <f t="shared" ca="1" si="2"/>
        <v>2.2490212090637431E-2</v>
      </c>
      <c r="G55" s="4">
        <f t="shared" ca="1" si="3"/>
        <v>9.1546010299410965E-3</v>
      </c>
      <c r="H55" s="5">
        <f t="shared" ca="1" si="4"/>
        <v>5.0580963988185407E-4</v>
      </c>
      <c r="I55" s="5">
        <f t="shared" ca="1" si="5"/>
        <v>8.3806720017398585E-5</v>
      </c>
      <c r="J55" s="5">
        <f t="shared" ca="1" si="6"/>
        <v>2.0588891876854312E-4</v>
      </c>
    </row>
    <row r="56" spans="2:10">
      <c r="B56" vm="223">
        <f ca="1"/>
        <v>31.86</v>
      </c>
      <c r="C56" vm="224">
        <f ca="1"/>
        <v>99.35</v>
      </c>
      <c r="D56" s="4">
        <f t="shared" ca="1" si="0"/>
        <v>-1.7273288093769379E-2</v>
      </c>
      <c r="E56" s="4">
        <f t="shared" ca="1" si="1"/>
        <v>-1.0064412238330878E-4</v>
      </c>
      <c r="F56" s="4">
        <f t="shared" ca="1" si="2"/>
        <v>-1.5563932426305681E-2</v>
      </c>
      <c r="G56" s="4">
        <f t="shared" ca="1" si="3"/>
        <v>1.7546868345652065E-3</v>
      </c>
      <c r="H56" s="5">
        <f t="shared" ca="1" si="4"/>
        <v>2.4223599257060943E-4</v>
      </c>
      <c r="I56" s="5">
        <f t="shared" ca="1" si="5"/>
        <v>3.0789258873964646E-6</v>
      </c>
      <c r="J56" s="5">
        <f t="shared" ca="1" si="6"/>
        <v>-2.7309827322501091E-5</v>
      </c>
    </row>
    <row r="57" spans="2:10">
      <c r="B57" vm="133">
        <f ca="1"/>
        <v>32.69</v>
      </c>
      <c r="C57" vm="225">
        <f ca="1"/>
        <v>100.29</v>
      </c>
      <c r="D57" s="4">
        <f t="shared" ca="1" si="0"/>
        <v>2.6051475204017516E-2</v>
      </c>
      <c r="E57" s="4">
        <f t="shared" ca="1" si="1"/>
        <v>9.4614997483644103E-3</v>
      </c>
      <c r="F57" s="4">
        <f t="shared" ca="1" si="2"/>
        <v>2.7760830871481214E-2</v>
      </c>
      <c r="G57" s="4">
        <f t="shared" ca="1" si="3"/>
        <v>1.1316830705312926E-2</v>
      </c>
      <c r="H57" s="5">
        <f t="shared" ca="1" si="4"/>
        <v>7.7066373067498437E-4</v>
      </c>
      <c r="I57" s="5">
        <f t="shared" ca="1" si="5"/>
        <v>1.2807065721271346E-4</v>
      </c>
      <c r="J57" s="5">
        <f t="shared" ca="1" si="6"/>
        <v>3.141646232113776E-4</v>
      </c>
    </row>
    <row r="58" spans="2:10">
      <c r="B58" vm="226">
        <f ca="1"/>
        <v>32.53</v>
      </c>
      <c r="C58" vm="227">
        <f ca="1"/>
        <v>98.86</v>
      </c>
      <c r="D58" s="4">
        <f t="shared" ca="1" si="0"/>
        <v>-4.8944631385743342E-3</v>
      </c>
      <c r="E58" s="4">
        <f t="shared" ca="1" si="1"/>
        <v>-1.4258649915245836E-2</v>
      </c>
      <c r="F58" s="4">
        <f t="shared" ca="1" si="2"/>
        <v>-3.185107471110637E-3</v>
      </c>
      <c r="G58" s="4">
        <f t="shared" ca="1" si="3"/>
        <v>-1.240331895829732E-2</v>
      </c>
      <c r="H58" s="5">
        <f t="shared" ca="1" si="4"/>
        <v>1.0144909602524798E-5</v>
      </c>
      <c r="I58" s="5">
        <f t="shared" ca="1" si="5"/>
        <v>1.5384232118125771E-4</v>
      </c>
      <c r="J58" s="5">
        <f t="shared" ca="1" si="6"/>
        <v>3.9505903880640998E-5</v>
      </c>
    </row>
    <row r="59" spans="2:10">
      <c r="B59" vm="228">
        <f ca="1"/>
        <v>31.42</v>
      </c>
      <c r="C59" vm="229">
        <f ca="1"/>
        <v>99.46</v>
      </c>
      <c r="D59" s="4">
        <f t="shared" ca="1" si="0"/>
        <v>-3.4122348601291153E-2</v>
      </c>
      <c r="E59" s="4">
        <f t="shared" ca="1" si="1"/>
        <v>6.0691887517700938E-3</v>
      </c>
      <c r="F59" s="4">
        <f t="shared" ca="1" si="2"/>
        <v>-3.2412992933827454E-2</v>
      </c>
      <c r="G59" s="4">
        <f t="shared" ca="1" si="3"/>
        <v>7.9245197087186095E-3</v>
      </c>
      <c r="H59" s="5">
        <f t="shared" ca="1" si="4"/>
        <v>1.0506021109283484E-3</v>
      </c>
      <c r="I59" s="5">
        <f t="shared" ca="1" si="5"/>
        <v>6.279801261386967E-5</v>
      </c>
      <c r="J59" s="5">
        <f t="shared" ca="1" si="6"/>
        <v>-2.5685740132267267E-4</v>
      </c>
    </row>
    <row r="60" spans="2:10">
      <c r="B60" vm="221">
        <f ca="1"/>
        <v>32.42</v>
      </c>
      <c r="C60" vm="230">
        <f ca="1"/>
        <v>100.18</v>
      </c>
      <c r="D60" s="4">
        <f t="shared" ca="1" si="0"/>
        <v>3.1826861871419476E-2</v>
      </c>
      <c r="E60" s="4">
        <f t="shared" ca="1" si="1"/>
        <v>7.2390910918964657E-3</v>
      </c>
      <c r="F60" s="4">
        <f t="shared" ca="1" si="2"/>
        <v>3.3536217538883174E-2</v>
      </c>
      <c r="G60" s="4">
        <f t="shared" ca="1" si="3"/>
        <v>9.0944220488449815E-3</v>
      </c>
      <c r="H60" s="5">
        <f t="shared" ca="1" si="4"/>
        <v>1.1246778868152954E-3</v>
      </c>
      <c r="I60" s="5">
        <f t="shared" ca="1" si="5"/>
        <v>8.270851240251775E-5</v>
      </c>
      <c r="J60" s="5">
        <f t="shared" ca="1" si="6"/>
        <v>3.0499251622048094E-4</v>
      </c>
    </row>
    <row r="61" spans="2:10">
      <c r="B61" vm="231">
        <f ca="1"/>
        <v>32.04</v>
      </c>
      <c r="C61" vm="232">
        <f ca="1"/>
        <v>101.61</v>
      </c>
      <c r="D61" s="4">
        <f t="shared" ca="1" si="0"/>
        <v>-1.1721159777914991E-2</v>
      </c>
      <c r="E61" s="4">
        <f t="shared" ca="1" si="1"/>
        <v>1.4274306248752255E-2</v>
      </c>
      <c r="F61" s="4">
        <f t="shared" ca="1" si="2"/>
        <v>-1.0011804110451293E-2</v>
      </c>
      <c r="G61" s="4">
        <f t="shared" ca="1" si="3"/>
        <v>1.6129637205700771E-2</v>
      </c>
      <c r="H61" s="5">
        <f t="shared" ca="1" si="4"/>
        <v>1.002362215460494E-4</v>
      </c>
      <c r="I61" s="5">
        <f t="shared" ca="1" si="5"/>
        <v>2.601651963875266E-4</v>
      </c>
      <c r="J61" s="5">
        <f t="shared" ca="1" si="6"/>
        <v>-1.6148676807612309E-4</v>
      </c>
    </row>
    <row r="62" spans="2:10">
      <c r="B62" vm="233">
        <f ca="1"/>
        <v>32.119999999999997</v>
      </c>
      <c r="C62" vm="234">
        <f ca="1"/>
        <v>100.78</v>
      </c>
      <c r="D62" s="4">
        <f t="shared" ca="1" si="0"/>
        <v>2.4968789013732895E-3</v>
      </c>
      <c r="E62" s="4">
        <f t="shared" ca="1" si="1"/>
        <v>-8.1684873536068681E-3</v>
      </c>
      <c r="F62" s="4">
        <f t="shared" ca="1" si="2"/>
        <v>4.2062345688369867E-3</v>
      </c>
      <c r="G62" s="4">
        <f t="shared" ca="1" si="3"/>
        <v>-6.3131563966583523E-3</v>
      </c>
      <c r="H62" s="5">
        <f t="shared" ca="1" si="4"/>
        <v>1.7692409248079272E-5</v>
      </c>
      <c r="I62" s="5">
        <f t="shared" ca="1" si="5"/>
        <v>3.9855943688668269E-5</v>
      </c>
      <c r="J62" s="5">
        <f t="shared" ca="1" si="6"/>
        <v>-2.6554616674098708E-5</v>
      </c>
    </row>
    <row r="63" spans="2:10">
      <c r="B63" vm="235">
        <f ca="1"/>
        <v>31.61</v>
      </c>
      <c r="C63" vm="236">
        <f ca="1"/>
        <v>100.45</v>
      </c>
      <c r="D63" s="4">
        <f t="shared" ca="1" si="0"/>
        <v>-1.5877957658779529E-2</v>
      </c>
      <c r="E63" s="4">
        <f t="shared" ca="1" si="1"/>
        <v>-3.2744592180987686E-3</v>
      </c>
      <c r="F63" s="4">
        <f t="shared" ca="1" si="2"/>
        <v>-1.4168601991315831E-2</v>
      </c>
      <c r="G63" s="4">
        <f t="shared" ca="1" si="3"/>
        <v>-1.4191282611502533E-3</v>
      </c>
      <c r="H63" s="5">
        <f t="shared" ca="1" si="4"/>
        <v>2.0074928238831893E-4</v>
      </c>
      <c r="I63" s="5">
        <f t="shared" ca="1" si="5"/>
        <v>2.0139250215953417E-6</v>
      </c>
      <c r="J63" s="5">
        <f t="shared" ca="1" si="6"/>
        <v>2.0107063506866052E-5</v>
      </c>
    </row>
    <row r="64" spans="2:10">
      <c r="B64" vm="237">
        <f ca="1"/>
        <v>30.36</v>
      </c>
      <c r="C64" vm="238">
        <f ca="1"/>
        <v>98.07</v>
      </c>
      <c r="D64" s="4">
        <f t="shared" ca="1" si="0"/>
        <v>-3.9544447959506512E-2</v>
      </c>
      <c r="E64" s="4">
        <f t="shared" ca="1" si="1"/>
        <v>-2.3693379790940883E-2</v>
      </c>
      <c r="F64" s="4">
        <f t="shared" ca="1" si="2"/>
        <v>-3.7835092292042814E-2</v>
      </c>
      <c r="G64" s="4">
        <f t="shared" ca="1" si="3"/>
        <v>-2.1838048833992367E-2</v>
      </c>
      <c r="H64" s="5">
        <f t="shared" ca="1" si="4"/>
        <v>1.4314942087473976E-3</v>
      </c>
      <c r="I64" s="5">
        <f t="shared" ca="1" si="5"/>
        <v>4.7690037687583538E-4</v>
      </c>
      <c r="J64" s="5">
        <f t="shared" ca="1" si="6"/>
        <v>8.2624459311223919E-4</v>
      </c>
    </row>
    <row r="65" spans="2:10">
      <c r="B65" vm="239">
        <f ca="1"/>
        <v>29.64</v>
      </c>
      <c r="C65" vm="240">
        <f ca="1"/>
        <v>98.7</v>
      </c>
      <c r="D65" s="4">
        <f t="shared" ca="1" si="0"/>
        <v>-2.371541501976282E-2</v>
      </c>
      <c r="E65" s="4">
        <f t="shared" ca="1" si="1"/>
        <v>6.4239828693790635E-3</v>
      </c>
      <c r="F65" s="4">
        <f t="shared" ca="1" si="2"/>
        <v>-2.2006059352299122E-2</v>
      </c>
      <c r="G65" s="4">
        <f t="shared" ca="1" si="3"/>
        <v>8.2793138263275792E-3</v>
      </c>
      <c r="H65" s="5">
        <f t="shared" ca="1" si="4"/>
        <v>4.8426664821691164E-4</v>
      </c>
      <c r="I65" s="5">
        <f t="shared" ca="1" si="5"/>
        <v>6.8547037434819018E-5</v>
      </c>
      <c r="J65" s="5">
        <f t="shared" ca="1" si="6"/>
        <v>-1.8219507145847546E-4</v>
      </c>
    </row>
  </sheetData>
  <conditionalFormatting sqref="F7:G65">
    <cfRule type="cellIs" dxfId="3" priority="3" operator="lessThan">
      <formula>0</formula>
    </cfRule>
    <cfRule type="cellIs" dxfId="2" priority="4" operator="greaterThan">
      <formula>0</formula>
    </cfRule>
  </conditionalFormatting>
  <conditionalFormatting sqref="J7:J65">
    <cfRule type="cellIs" dxfId="1" priority="1" operator="lessThan">
      <formula>0</formula>
    </cfRule>
    <cfRule type="cellIs" dxfId="0" priority="2" operator="greaterThan">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8f94143-44b4-4c83-b690-2b7178485ce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5937BB97E5C143960521C7F44B4A85" ma:contentTypeVersion="14" ma:contentTypeDescription="Create a new document." ma:contentTypeScope="" ma:versionID="6fe4c8e0fe9ef3fbf1d7e2127750e0f5">
  <xsd:schema xmlns:xsd="http://www.w3.org/2001/XMLSchema" xmlns:xs="http://www.w3.org/2001/XMLSchema" xmlns:p="http://schemas.microsoft.com/office/2006/metadata/properties" xmlns:ns3="a8f94143-44b4-4c83-b690-2b7178485ce5" xmlns:ns4="f8c0a479-5081-4d06-9222-9419e65ae994" targetNamespace="http://schemas.microsoft.com/office/2006/metadata/properties" ma:root="true" ma:fieldsID="60e00235bf38a598dd5e4e9f4c58b66e" ns3:_="" ns4:_="">
    <xsd:import namespace="a8f94143-44b4-4c83-b690-2b7178485ce5"/>
    <xsd:import namespace="f8c0a479-5081-4d06-9222-9419e65ae99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f94143-44b4-4c83-b690-2b7178485c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c0a479-5081-4d06-9222-9419e65ae9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0283B2-6344-463E-8045-8894CF30E71A}"/>
</file>

<file path=customXml/itemProps2.xml><?xml version="1.0" encoding="utf-8"?>
<ds:datastoreItem xmlns:ds="http://schemas.openxmlformats.org/officeDocument/2006/customXml" ds:itemID="{0EB05CF4-1E35-491A-B60B-95C506C99F6F}"/>
</file>

<file path=customXml/itemProps3.xml><?xml version="1.0" encoding="utf-8"?>
<ds:datastoreItem xmlns:ds="http://schemas.openxmlformats.org/officeDocument/2006/customXml" ds:itemID="{BF278557-601E-47F3-A7A8-274E487B7924}"/>
</file>

<file path=docProps/app.xml><?xml version="1.0" encoding="utf-8"?>
<Properties xmlns="http://schemas.openxmlformats.org/officeDocument/2006/extended-properties" xmlns:vt="http://schemas.openxmlformats.org/officeDocument/2006/docPropsVTypes">
  <Application>Microsoft Excel Online</Application>
  <Manager/>
  <Company>Kent State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Sage, Lauren</dc:creator>
  <cp:keywords/>
  <dc:description/>
  <cp:lastModifiedBy/>
  <cp:revision/>
  <dcterms:created xsi:type="dcterms:W3CDTF">2026-10-07T19:54:40Z</dcterms:created>
  <dcterms:modified xsi:type="dcterms:W3CDTF">2026-10-08T20:58:50Z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0x010100FD5937BB97E5C143960521C7F44B4A85</vt:lpwstr>
  </property>
</Properties>
</file>