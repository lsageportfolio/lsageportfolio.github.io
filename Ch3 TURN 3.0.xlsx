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suprod-my.sharepoint.com/personal/lsage_kent_edu/Documents/"/>
    </mc:Choice>
  </mc:AlternateContent>
  <xr:revisionPtr revIDLastSave="0" documentId="8_{AB6E9038-4116-44AB-8467-B442CA18C335}" xr6:coauthVersionLast="47" xr6:coauthVersionMax="47" xr10:uidLastSave="{00000000-0000-0000-0000-000000000000}"/>
  <bookViews>
    <workbookView xWindow="9510" yWindow="0" windowWidth="9780" windowHeight="10170" xr2:uid="{F482E02A-1787-4063-9A49-4067D959B7D9}"/>
  </bookViews>
  <sheets>
    <sheet name="Problem 2" sheetId="2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0" l="1"/>
  <c r="B13" i="20"/>
  <c r="B12" i="20"/>
  <c r="B11" i="20"/>
  <c r="E20" i="20"/>
  <c r="E19" i="20"/>
  <c r="E16" i="20"/>
  <c r="E17" i="20"/>
  <c r="E9" i="20"/>
  <c r="E11" i="20"/>
  <c r="E12" i="20"/>
  <c r="E7" i="20"/>
  <c r="B5" i="20"/>
  <c r="B7" i="20" s="1"/>
  <c r="B15" i="20"/>
  <c r="B6" i="20"/>
  <c r="D1" i="20"/>
  <c r="A3" i="20"/>
  <c r="E4" i="20"/>
  <c r="D3" i="20" s="1"/>
  <c r="E18" i="20" l="1"/>
</calcChain>
</file>

<file path=xl/sharedStrings.xml><?xml version="1.0" encoding="utf-8"?>
<sst xmlns="http://schemas.openxmlformats.org/spreadsheetml/2006/main" count="42" uniqueCount="42">
  <si>
    <t>Mike Owjai Finance</t>
  </si>
  <si>
    <t>Income Statements</t>
  </si>
  <si>
    <t>Balance Sheet</t>
  </si>
  <si>
    <t>Sales</t>
  </si>
  <si>
    <t>Assets</t>
  </si>
  <si>
    <t>Cost of Goods</t>
  </si>
  <si>
    <t>Cash</t>
  </si>
  <si>
    <t>Gross Profit</t>
  </si>
  <si>
    <t>Accounts Receivable</t>
  </si>
  <si>
    <t>Depreciation</t>
  </si>
  <si>
    <t>Inventory</t>
  </si>
  <si>
    <t>Selling &amp; Admin. Expense</t>
  </si>
  <si>
    <t>Total Current Assets</t>
  </si>
  <si>
    <t>Lease Expense</t>
  </si>
  <si>
    <t>Gross Fixed Assets</t>
  </si>
  <si>
    <t>Earnings Before Interest &amp; Taxes</t>
  </si>
  <si>
    <t>Accumulated Depreciation</t>
  </si>
  <si>
    <t>Interest Expense</t>
  </si>
  <si>
    <t>Net Plant &amp; Equipment</t>
  </si>
  <si>
    <t>Earnings Before Taxes</t>
  </si>
  <si>
    <t>Total Assets</t>
  </si>
  <si>
    <t>Taxes</t>
  </si>
  <si>
    <t>Liabilities &amp; Owner's Equity</t>
  </si>
  <si>
    <t>Net Income</t>
  </si>
  <si>
    <t>Accounts Payable</t>
  </si>
  <si>
    <t>Short-term Notes Payable</t>
  </si>
  <si>
    <t>Note: Tax Rate</t>
  </si>
  <si>
    <t>Total Current Liabilities</t>
  </si>
  <si>
    <t>Long-term Debt</t>
  </si>
  <si>
    <t>Common Equity</t>
  </si>
  <si>
    <t>Total Liab. &amp; Owner's Equity</t>
  </si>
  <si>
    <t>Ratios</t>
  </si>
  <si>
    <t>Current Ratio</t>
  </si>
  <si>
    <t>Inventory Turnover</t>
  </si>
  <si>
    <r>
      <t xml:space="preserve">1. Use the given </t>
    </r>
    <r>
      <rPr>
        <b/>
        <sz val="11"/>
        <rFont val="Times New Roman"/>
        <family val="1"/>
      </rPr>
      <t>ratios</t>
    </r>
    <r>
      <rPr>
        <sz val="11"/>
        <rFont val="Times New Roman"/>
        <family val="1"/>
      </rPr>
      <t xml:space="preserve"> to fill in the </t>
    </r>
    <r>
      <rPr>
        <b/>
        <sz val="11"/>
        <rFont val="Times New Roman"/>
        <family val="1"/>
      </rPr>
      <t>Green-highlighted</t>
    </r>
    <r>
      <rPr>
        <sz val="11"/>
        <rFont val="Times New Roman"/>
        <family val="1"/>
      </rPr>
      <t xml:space="preserve"> cells by writing formulas directly in the spreadsheet. Ensure that all calculations use the</t>
    </r>
    <r>
      <rPr>
        <b/>
        <sz val="11"/>
        <rFont val="Times New Roman"/>
        <family val="1"/>
      </rPr>
      <t xml:space="preserve"> ROUND</t>
    </r>
    <r>
      <rPr>
        <sz val="11"/>
        <rFont val="Times New Roman"/>
        <family val="1"/>
      </rPr>
      <t xml:space="preserve"> function to round the results to the nearest $1.
2. For the </t>
    </r>
    <r>
      <rPr>
        <b/>
        <sz val="11"/>
        <rFont val="Times New Roman"/>
        <family val="1"/>
      </rPr>
      <t>Yellow-highlighted</t>
    </r>
    <r>
      <rPr>
        <sz val="11"/>
        <rFont val="Times New Roman"/>
        <family val="1"/>
      </rPr>
      <t xml:space="preserve"> cells, </t>
    </r>
    <r>
      <rPr>
        <b/>
        <sz val="11"/>
        <rFont val="Times New Roman"/>
        <family val="1"/>
      </rPr>
      <t>create formulas</t>
    </r>
    <r>
      <rPr>
        <sz val="11"/>
        <rFont val="Times New Roman"/>
        <family val="1"/>
      </rPr>
      <t xml:space="preserve"> that reference the appropriate existing data in the spreadsheet to compute the required values.
</t>
    </r>
    <r>
      <rPr>
        <b/>
        <sz val="11"/>
        <color rgb="FFFF0000"/>
        <rFont val="Times New Roman"/>
        <family val="1"/>
      </rPr>
      <t xml:space="preserve">Note: </t>
    </r>
    <r>
      <rPr>
        <sz val="11"/>
        <rFont val="Times New Roman"/>
        <family val="1"/>
      </rPr>
      <t>The order in which you calculate the cells (Green or Yellow) does not need to follow a strict sequence. You can work on Green and Yellow cells alternately, depending on the data dependencies.</t>
    </r>
    <phoneticPr fontId="5" type="noConversion"/>
  </si>
  <si>
    <t>A/R Turnover</t>
  </si>
  <si>
    <t>Fixed Asset Turnover</t>
  </si>
  <si>
    <t>LTD to Equity</t>
  </si>
  <si>
    <t>Times Interest Earned</t>
  </si>
  <si>
    <t>Net Profit Margin</t>
  </si>
  <si>
    <t>Return on Total Assets</t>
  </si>
  <si>
    <t>Return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</si>
</sst>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;\(&quot;$&quot;#,##0\)"/>
    <numFmt numFmtId="165" formatCode="&quot;$&quot;#,##0"/>
    <numFmt numFmtId="166" formatCode="0.00000000"/>
  </numFmts>
  <fonts count="9">
    <font>
      <sz val="11"/>
      <name val="Times New Roman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sz val="9"/>
      <name val="宋体"/>
      <family val="3"/>
      <charset val="134"/>
    </font>
    <font>
      <b/>
      <sz val="11"/>
      <color rgb="FFFF0000"/>
      <name val="Times New Roman"/>
      <family val="1"/>
    </font>
    <font>
      <sz val="12"/>
      <color rgb="FFFFFFFF"/>
      <name val="Arial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4" fillId="2" borderId="1">
      <alignment horizontal="center" vertical="justify"/>
    </xf>
    <xf numFmtId="0" fontId="1" fillId="0" borderId="0"/>
    <xf numFmtId="44" fontId="8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  <xf numFmtId="0" fontId="3" fillId="0" borderId="0" xfId="0" applyFont="1" applyAlignment="1">
      <alignment horizontal="left" indent="1"/>
    </xf>
    <xf numFmtId="3" fontId="0" fillId="0" borderId="3" xfId="0" applyNumberFormat="1" applyBorder="1"/>
    <xf numFmtId="3" fontId="0" fillId="0" borderId="0" xfId="0" applyNumberFormat="1"/>
    <xf numFmtId="0" fontId="1" fillId="0" borderId="0" xfId="0" applyFont="1"/>
    <xf numFmtId="0" fontId="2" fillId="3" borderId="2" xfId="0" applyFont="1" applyFill="1" applyBorder="1"/>
    <xf numFmtId="165" fontId="0" fillId="0" borderId="0" xfId="0" applyNumberFormat="1"/>
    <xf numFmtId="10" fontId="0" fillId="0" borderId="0" xfId="0" applyNumberFormat="1"/>
    <xf numFmtId="0" fontId="0" fillId="3" borderId="2" xfId="0" applyFill="1" applyBorder="1"/>
    <xf numFmtId="3" fontId="0" fillId="0" borderId="4" xfId="0" applyNumberFormat="1" applyBorder="1"/>
    <xf numFmtId="0" fontId="2" fillId="0" borderId="4" xfId="0" applyFont="1" applyBorder="1"/>
    <xf numFmtId="164" fontId="0" fillId="4" borderId="0" xfId="0" applyNumberFormat="1" applyFill="1"/>
    <xf numFmtId="3" fontId="0" fillId="4" borderId="3" xfId="0" applyNumberFormat="1" applyFill="1" applyBorder="1"/>
    <xf numFmtId="164" fontId="0" fillId="4" borderId="5" xfId="0" applyNumberFormat="1" applyFill="1" applyBorder="1"/>
    <xf numFmtId="3" fontId="0" fillId="4" borderId="0" xfId="0" applyNumberFormat="1" applyFill="1"/>
    <xf numFmtId="3" fontId="0" fillId="5" borderId="0" xfId="0" applyNumberFormat="1" applyFill="1"/>
    <xf numFmtId="3" fontId="0" fillId="5" borderId="3" xfId="0" applyNumberFormat="1" applyFill="1" applyBorder="1"/>
    <xf numFmtId="164" fontId="0" fillId="5" borderId="0" xfId="0" applyNumberFormat="1" applyFill="1"/>
    <xf numFmtId="164" fontId="0" fillId="0" borderId="0" xfId="0" applyNumberFormat="1"/>
    <xf numFmtId="166" fontId="0" fillId="0" borderId="0" xfId="0" applyNumberFormat="1"/>
    <xf numFmtId="0" fontId="7" fillId="0" borderId="0" xfId="0" applyFont="1"/>
    <xf numFmtId="44" fontId="0" fillId="4" borderId="3" xfId="3" applyFont="1" applyFill="1" applyBorder="1"/>
    <xf numFmtId="0" fontId="1" fillId="0" borderId="0" xfId="0" applyFont="1" applyAlignment="1">
      <alignment horizontal="left" vertical="top" wrapText="1"/>
    </xf>
  </cellXfs>
  <cellStyles count="4">
    <cellStyle name="Currency" xfId="3" builtinId="4"/>
    <cellStyle name="Normal" xfId="0" builtinId="0"/>
    <cellStyle name="Normal 2" xfId="2" xr:uid="{D5E7E742-3870-4A2A-BB97-4DFEB13997B8}"/>
    <cellStyle name="ShadedHeadings" xfId="1" xr:uid="{00000000-0005-0000-0000-00000500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X1000"/>
  <sheetViews>
    <sheetView tabSelected="1" zoomScale="104" zoomScaleNormal="85" workbookViewId="0">
      <selection activeCell="B15" sqref="B15"/>
    </sheetView>
  </sheetViews>
  <sheetFormatPr defaultRowHeight="14.1"/>
  <cols>
    <col min="1" max="1" width="33.5703125" customWidth="1"/>
    <col min="2" max="2" width="13.5703125" bestFit="1" customWidth="1"/>
    <col min="3" max="3" width="9.85546875" customWidth="1"/>
    <col min="4" max="4" width="29.28515625" customWidth="1"/>
    <col min="5" max="5" width="10.5703125" bestFit="1" customWidth="1"/>
    <col min="12" max="12" width="34.140625" bestFit="1" customWidth="1"/>
    <col min="13" max="13" width="12.42578125" bestFit="1" customWidth="1"/>
    <col min="15" max="15" width="29.140625" bestFit="1" customWidth="1"/>
    <col min="16" max="17" width="9.85546875" bestFit="1" customWidth="1"/>
    <col min="19" max="19" width="9.85546875" bestFit="1" customWidth="1"/>
  </cols>
  <sheetData>
    <row r="1" spans="1:5">
      <c r="A1" s="2" t="s">
        <v>0</v>
      </c>
      <c r="B1" s="1"/>
      <c r="D1" s="2" t="str">
        <f>A1</f>
        <v>Mike Owjai Finance</v>
      </c>
      <c r="E1" s="1"/>
    </row>
    <row r="2" spans="1:5">
      <c r="A2" s="2" t="s">
        <v>1</v>
      </c>
      <c r="B2" s="1"/>
      <c r="D2" s="2" t="s">
        <v>2</v>
      </c>
      <c r="E2" s="1"/>
    </row>
    <row r="3" spans="1:5" ht="14.45" thickBot="1">
      <c r="A3" s="2" t="str">
        <f>"For the Year Ended December 31, "&amp;B4</f>
        <v>For the Year Ended December 31, 2020</v>
      </c>
      <c r="B3" s="1"/>
      <c r="D3" s="2" t="str">
        <f>"As of December 31, "&amp;E4</f>
        <v>As of December 31, 2020</v>
      </c>
      <c r="E3" s="1"/>
    </row>
    <row r="4" spans="1:5" ht="14.45" thickBot="1">
      <c r="A4" s="11"/>
      <c r="B4" s="8">
        <v>2020</v>
      </c>
      <c r="D4" s="11"/>
      <c r="E4" s="8">
        <f>B4</f>
        <v>2020</v>
      </c>
    </row>
    <row r="5" spans="1:5">
      <c r="A5" t="s">
        <v>3</v>
      </c>
      <c r="B5" s="14">
        <f>ROUND(B15/B29,0)</f>
        <v>4283000</v>
      </c>
      <c r="D5" s="3" t="s">
        <v>4</v>
      </c>
    </row>
    <row r="6" spans="1:5">
      <c r="A6" t="s">
        <v>5</v>
      </c>
      <c r="B6" s="24">
        <f>ROUND(B24*E8,0)</f>
        <v>2965000</v>
      </c>
      <c r="D6" t="s">
        <v>6</v>
      </c>
      <c r="E6" s="9">
        <v>35000</v>
      </c>
    </row>
    <row r="7" spans="1:5">
      <c r="A7" s="4" t="s">
        <v>7</v>
      </c>
      <c r="B7" s="18">
        <f>B5-B6</f>
        <v>1318000</v>
      </c>
      <c r="D7" t="s">
        <v>8</v>
      </c>
      <c r="E7" s="17">
        <f>ROUND(B5/B25,0)</f>
        <v>428300</v>
      </c>
    </row>
    <row r="8" spans="1:5">
      <c r="A8" t="s">
        <v>9</v>
      </c>
      <c r="B8" s="6">
        <v>72000</v>
      </c>
      <c r="D8" t="s">
        <v>10</v>
      </c>
      <c r="E8" s="6">
        <v>593000</v>
      </c>
    </row>
    <row r="9" spans="1:5">
      <c r="A9" t="s">
        <v>11</v>
      </c>
      <c r="B9" s="6">
        <v>954250</v>
      </c>
      <c r="D9" s="4" t="s">
        <v>12</v>
      </c>
      <c r="E9" s="18">
        <f>E6+E7+E8</f>
        <v>1056300</v>
      </c>
    </row>
    <row r="10" spans="1:5">
      <c r="A10" t="s">
        <v>13</v>
      </c>
      <c r="B10" s="5">
        <v>45750</v>
      </c>
      <c r="D10" t="s">
        <v>14</v>
      </c>
      <c r="E10" s="6">
        <v>3450000</v>
      </c>
    </row>
    <row r="11" spans="1:5">
      <c r="A11" s="4" t="s">
        <v>15</v>
      </c>
      <c r="B11" s="18">
        <f>B28*B12</f>
        <v>245999.99944999997</v>
      </c>
      <c r="D11" t="s">
        <v>16</v>
      </c>
      <c r="E11" s="18">
        <f>E10-E12</f>
        <v>475650</v>
      </c>
    </row>
    <row r="12" spans="1:5">
      <c r="A12" t="s">
        <v>17</v>
      </c>
      <c r="B12" s="15">
        <f>ROUND(B15/((B28-1)*(1-B17)),0)</f>
        <v>115000</v>
      </c>
      <c r="D12" s="4" t="s">
        <v>18</v>
      </c>
      <c r="E12" s="17">
        <f>ROUND(B5/B26,0)</f>
        <v>2974350</v>
      </c>
    </row>
    <row r="13" spans="1:5" ht="14.45" thickBot="1">
      <c r="A13" s="4" t="s">
        <v>19</v>
      </c>
      <c r="B13" s="18">
        <f>B11-B12</f>
        <v>130999.99944999997</v>
      </c>
      <c r="D13" s="3" t="s">
        <v>20</v>
      </c>
      <c r="E13" s="6">
        <v>4030650</v>
      </c>
    </row>
    <row r="14" spans="1:5">
      <c r="A14" t="s">
        <v>21</v>
      </c>
      <c r="B14" s="19">
        <f>B13*B17</f>
        <v>32749.999862499993</v>
      </c>
      <c r="D14" s="13" t="s">
        <v>22</v>
      </c>
      <c r="E14" s="12"/>
    </row>
    <row r="15" spans="1:5" ht="14.45" thickBot="1">
      <c r="A15" s="4" t="s">
        <v>23</v>
      </c>
      <c r="B15" s="16">
        <f>ROUND(B30*E13,0)</f>
        <v>98250</v>
      </c>
      <c r="D15" t="s">
        <v>24</v>
      </c>
      <c r="E15" s="6">
        <v>359575</v>
      </c>
    </row>
    <row r="16" spans="1:5" ht="14.45" thickTop="1">
      <c r="D16" s="7" t="s">
        <v>25</v>
      </c>
      <c r="E16" s="18">
        <f>E17-E15</f>
        <v>184250</v>
      </c>
    </row>
    <row r="17" spans="1:12">
      <c r="A17" s="7" t="s">
        <v>26</v>
      </c>
      <c r="B17" s="10">
        <v>0.25</v>
      </c>
      <c r="D17" s="4" t="s">
        <v>27</v>
      </c>
      <c r="E17" s="17">
        <f>ROUND(E9/B23,0)</f>
        <v>543825</v>
      </c>
    </row>
    <row r="18" spans="1:12">
      <c r="D18" t="s">
        <v>28</v>
      </c>
      <c r="E18" s="17">
        <f>ROUND(B27*E19,0)</f>
        <v>1296825</v>
      </c>
    </row>
    <row r="19" spans="1:12">
      <c r="D19" s="7" t="s">
        <v>29</v>
      </c>
      <c r="E19" s="17">
        <f>ROUND(B15/B31,0)</f>
        <v>2190000</v>
      </c>
    </row>
    <row r="20" spans="1:12">
      <c r="D20" s="3" t="s">
        <v>30</v>
      </c>
      <c r="E20" s="20">
        <f>E17+E18+E19</f>
        <v>4030650</v>
      </c>
      <c r="G20" s="21"/>
    </row>
    <row r="22" spans="1:12">
      <c r="A22" s="3" t="s">
        <v>31</v>
      </c>
      <c r="E22" s="6"/>
    </row>
    <row r="23" spans="1:12">
      <c r="A23" s="7" t="s">
        <v>32</v>
      </c>
      <c r="B23" s="22">
        <v>1.94235278</v>
      </c>
    </row>
    <row r="24" spans="1:12" ht="14.1" customHeight="1">
      <c r="A24" s="7" t="s">
        <v>33</v>
      </c>
      <c r="B24" s="22">
        <v>5</v>
      </c>
      <c r="D24" s="25" t="s">
        <v>34</v>
      </c>
      <c r="E24" s="25"/>
      <c r="F24" s="25"/>
      <c r="G24" s="25"/>
      <c r="H24" s="25"/>
      <c r="I24" s="25"/>
      <c r="J24" s="25"/>
      <c r="K24" s="25"/>
      <c r="L24" s="25"/>
    </row>
    <row r="25" spans="1:12">
      <c r="A25" s="7" t="s">
        <v>35</v>
      </c>
      <c r="B25" s="22">
        <v>10</v>
      </c>
      <c r="D25" s="25"/>
      <c r="E25" s="25"/>
      <c r="F25" s="25"/>
      <c r="G25" s="25"/>
      <c r="H25" s="25"/>
      <c r="I25" s="25"/>
      <c r="J25" s="25"/>
      <c r="K25" s="25"/>
      <c r="L25" s="25"/>
    </row>
    <row r="26" spans="1:12">
      <c r="A26" s="7" t="s">
        <v>36</v>
      </c>
      <c r="B26" s="22">
        <v>1.4399784799999999</v>
      </c>
      <c r="D26" s="25"/>
      <c r="E26" s="25"/>
      <c r="F26" s="25"/>
      <c r="G26" s="25"/>
      <c r="H26" s="25"/>
      <c r="I26" s="25"/>
      <c r="J26" s="25"/>
      <c r="K26" s="25"/>
      <c r="L26" s="25"/>
    </row>
    <row r="27" spans="1:12">
      <c r="A27" s="7" t="s">
        <v>37</v>
      </c>
      <c r="B27" s="22">
        <v>0.59215753000000004</v>
      </c>
      <c r="D27" s="25"/>
      <c r="E27" s="25"/>
      <c r="F27" s="25"/>
      <c r="G27" s="25"/>
      <c r="H27" s="25"/>
      <c r="I27" s="25"/>
      <c r="J27" s="25"/>
      <c r="K27" s="25"/>
      <c r="L27" s="25"/>
    </row>
    <row r="28" spans="1:12">
      <c r="A28" s="7" t="s">
        <v>38</v>
      </c>
      <c r="B28" s="22">
        <v>2.1391304299999998</v>
      </c>
      <c r="D28" s="25"/>
      <c r="E28" s="25"/>
      <c r="F28" s="25"/>
      <c r="G28" s="25"/>
      <c r="H28" s="25"/>
      <c r="I28" s="25"/>
      <c r="J28" s="25"/>
      <c r="K28" s="25"/>
      <c r="L28" s="25"/>
    </row>
    <row r="29" spans="1:12">
      <c r="A29" s="7" t="s">
        <v>39</v>
      </c>
      <c r="B29" s="22">
        <v>2.293953E-2</v>
      </c>
      <c r="D29" s="25"/>
      <c r="E29" s="25"/>
      <c r="F29" s="25"/>
      <c r="G29" s="25"/>
      <c r="H29" s="25"/>
      <c r="I29" s="25"/>
      <c r="J29" s="25"/>
      <c r="K29" s="25"/>
      <c r="L29" s="25"/>
    </row>
    <row r="30" spans="1:12">
      <c r="A30" s="7" t="s">
        <v>40</v>
      </c>
      <c r="B30" s="22">
        <v>2.437572E-2</v>
      </c>
      <c r="D30" s="25"/>
      <c r="E30" s="25"/>
      <c r="F30" s="25"/>
      <c r="G30" s="25"/>
      <c r="H30" s="25"/>
      <c r="I30" s="25"/>
      <c r="J30" s="25"/>
      <c r="K30" s="25"/>
      <c r="L30" s="25"/>
    </row>
    <row r="31" spans="1:12">
      <c r="A31" s="7" t="s">
        <v>41</v>
      </c>
      <c r="B31" s="22">
        <v>4.4863010000000002E-2</v>
      </c>
      <c r="D31" s="25"/>
      <c r="E31" s="25"/>
      <c r="F31" s="25"/>
      <c r="G31" s="25"/>
      <c r="H31" s="25"/>
      <c r="I31" s="25"/>
      <c r="J31" s="25"/>
      <c r="K31" s="25"/>
      <c r="L31" s="25"/>
    </row>
    <row r="36" spans="1:1">
      <c r="A36" s="7"/>
    </row>
    <row r="1000" spans="648:648" ht="15.6">
      <c r="XX1000" s="23">
        <v>144968</v>
      </c>
    </row>
  </sheetData>
  <mergeCells count="1">
    <mergeCell ref="D24:L31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f94143-44b4-4c83-b690-2b7178485c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937BB97E5C143960521C7F44B4A85" ma:contentTypeVersion="13" ma:contentTypeDescription="Create a new document." ma:contentTypeScope="" ma:versionID="1856ac9ab5da45b22a557ff4c330f95c">
  <xsd:schema xmlns:xsd="http://www.w3.org/2001/XMLSchema" xmlns:xs="http://www.w3.org/2001/XMLSchema" xmlns:p="http://schemas.microsoft.com/office/2006/metadata/properties" xmlns:ns3="a8f94143-44b4-4c83-b690-2b7178485ce5" xmlns:ns4="f8c0a479-5081-4d06-9222-9419e65ae994" targetNamespace="http://schemas.microsoft.com/office/2006/metadata/properties" ma:root="true" ma:fieldsID="3278ba8879f5040fd5d7b474c0e8e28d" ns3:_="" ns4:_="">
    <xsd:import namespace="a8f94143-44b4-4c83-b690-2b7178485ce5"/>
    <xsd:import namespace="f8c0a479-5081-4d06-9222-9419e65ae9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94143-44b4-4c83-b690-2b7178485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0a479-5081-4d06-9222-9419e65ae9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6265C9-61FF-4A18-9713-BB00F5518963}"/>
</file>

<file path=customXml/itemProps2.xml><?xml version="1.0" encoding="utf-8"?>
<ds:datastoreItem xmlns:ds="http://schemas.openxmlformats.org/officeDocument/2006/customXml" ds:itemID="{498B832F-298B-4963-90A3-531B8BE45134}"/>
</file>

<file path=customXml/itemProps3.xml><?xml version="1.0" encoding="utf-8"?>
<ds:datastoreItem xmlns:ds="http://schemas.openxmlformats.org/officeDocument/2006/customXml" ds:itemID="{AC06D838-A25C-4F1E-897B-A22C2B9861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Mayes Consulting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Timothy R. Mayes, Ph.D.</dc:creator>
  <cp:keywords/>
  <dc:description/>
  <cp:lastModifiedBy/>
  <cp:revision/>
  <dcterms:created xsi:type="dcterms:W3CDTF">1999-12-31T23:49:58Z</dcterms:created>
  <dcterms:modified xsi:type="dcterms:W3CDTF">2026-10-20T01:32:34Z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0x010100FD5937BB97E5C143960521C7F44B4A85</vt:lpwstr>
  </property>
</Properties>
</file>