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ksuprod-my.sharepoint.com/personal/lsage_kent_edu/Documents/Fall 26/Av Fin Model/"/>
    </mc:Choice>
  </mc:AlternateContent>
  <xr:revisionPtr revIDLastSave="0" documentId="8_{31F28D5D-C9AE-4B04-A9A0-E839D0F5E7B2}" xr6:coauthVersionLast="47" xr6:coauthVersionMax="47" xr10:uidLastSave="{00000000-0000-0000-0000-000000000000}"/>
  <bookViews>
    <workbookView xWindow="-120" yWindow="-120" windowWidth="29040" windowHeight="15720" firstSheet="2" activeTab="2" xr2:uid="{19A93FC8-37C6-4326-89E5-4EAA06B84FEF}"/>
  </bookViews>
  <sheets>
    <sheet name="Parameters" sheetId="1" r:id="rId1"/>
    <sheet name="Financial Statements" sheetId="2" r:id="rId2"/>
    <sheet name="DCF" sheetId="3" r:id="rId3"/>
    <sheet name="Football Field" sheetId="5" r:id="rId4"/>
    <sheet name="Debt Schedule" sheetId="4" r:id="rId5"/>
  </sheets>
  <definedNames>
    <definedName name="_xlnm._FilterDatabase" localSheetId="2" hidden="1">DCF!$G$88:$M$95</definedName>
    <definedName name="Comapny.Name">Parameters!$G$2</definedName>
    <definedName name="D.F.Int.Exp">'Debt Schedule'!$J$21:$N$21</definedName>
    <definedName name="D.F.LTDEBT">'Debt Schedule'!$J$12:$N$12</definedName>
    <definedName name="D.F.STDebt">'Debt Schedule'!$J$11:$N$11</definedName>
    <definedName name="D.F.Total.Debt">'Debt Schedule'!$J$8:$N$8</definedName>
    <definedName name="D.H.Int.Expense">'Debt Schedule'!$G$21:$I$21</definedName>
    <definedName name="D.H.LTDebt">'Debt Schedule'!$G$12:$I$12</definedName>
    <definedName name="D.H.STDebt">'Debt Schedule'!$G$11:$I$11</definedName>
    <definedName name="D.H.Total.Debt">'Debt Schedule'!$G$8:$I$8</definedName>
    <definedName name="Discount">DCF!$G$27:$K$27</definedName>
    <definedName name="EV.Mult">DCF!$G$40</definedName>
    <definedName name="EV.Perp">DCF!$G$35</definedName>
    <definedName name="F.Assets">'Financial Statements'!$J$58:$N$58</definedName>
    <definedName name="f.Capital">'Financial Statements'!$J$80:$N$80</definedName>
    <definedName name="F.Cash">'Financial Statements'!$J$113:$N$113</definedName>
    <definedName name="F.Cash.Financing">'Financial Statements'!$J$109:$N$109</definedName>
    <definedName name="F.Cash.Investment">'Financial Statements'!$J$102:$N$102</definedName>
    <definedName name="F.Cash.Ops">'Financial Statements'!$J$97:$N$97</definedName>
    <definedName name="F.COGS">'Financial Statements'!$J$13:$N$13</definedName>
    <definedName name="F.EBIT">'Financial Statements'!$J$28:$N$28</definedName>
    <definedName name="F.EBITDA">DCF!$G$16:$K$16</definedName>
    <definedName name="F.Equity">'Financial Statements'!$J$79:$N$79</definedName>
    <definedName name="F.LT.Assets">'Financial Statements'!$J$57:$N$57</definedName>
    <definedName name="F.Margin">'Financial Statements'!$J$15:$N$15</definedName>
    <definedName name="F.Net.Income">'Financial Statements'!$J$36:$N$36</definedName>
    <definedName name="F.OpEx">'Financial Statements'!$J$26:$N$26</definedName>
    <definedName name="F.Pref">'Financial Statements'!$J$75:$N$75</definedName>
    <definedName name="f.revenues">'Financial Statements'!$J$7:$N$7</definedName>
    <definedName name="F.ST.Assets">'Financial Statements'!$J$48:$N$48</definedName>
    <definedName name="forecast.years">Parameters!$J$4</definedName>
    <definedName name="GFHIVM.Valuation">DCF!$H$64</definedName>
    <definedName name="H.Assets">'Financial Statements'!$G$58:$I$58</definedName>
    <definedName name="H.Capital">'Financial Statements'!$G$80:$I$80</definedName>
    <definedName name="H.Cash">'Financial Statements'!$G$113:$I$113</definedName>
    <definedName name="H.Cash.Financing">'Financial Statements'!$H$109:$I$109</definedName>
    <definedName name="H.Cash.Investment">'Financial Statements'!$H$102:$I$102</definedName>
    <definedName name="H.Cash.Ops">'Financial Statements'!$H$97:$I$97</definedName>
    <definedName name="H.COGS">'Financial Statements'!$G$13:$I$13</definedName>
    <definedName name="H.EBIT">'Financial Statements'!$G$28:$I$28</definedName>
    <definedName name="H.Equity">'Financial Statements'!$G$79:$I$79</definedName>
    <definedName name="H.LT.Assets">'Financial Statements'!$G$57:$I$57</definedName>
    <definedName name="H.Margin">'Financial Statements'!$G$15:$I$15</definedName>
    <definedName name="H.Net.Income">'Financial Statements'!$G$36:$I$36</definedName>
    <definedName name="H.Pref">'Financial Statements'!$G$75:$I$75</definedName>
    <definedName name="H.Revenues">'Financial Statements'!$G$7:$I$7</definedName>
    <definedName name="H.ST.Assets">'Financial Statements'!$G$48:$I$48</definedName>
    <definedName name="market.cap">DCF!$G$6</definedName>
    <definedName name="NPV.FCF">DCF!$G$28</definedName>
    <definedName name="P.F.Accounts.Payable">Parameters!$J$38:$N$38</definedName>
    <definedName name="P.F.Accruds">Parameters!$J$39:$N$39</definedName>
    <definedName name="P.F.Accts.Rec.Days">Parameters!$J$35:$N$35</definedName>
    <definedName name="P.F.Amorization">Parameters!$J$26:$N$26</definedName>
    <definedName name="P.F.Buybacks">Parameters!$J$29:$N$29</definedName>
    <definedName name="P.F.CapEx">Parameters!$J$44:$N$44</definedName>
    <definedName name="P.F.COGS">Parameters!$J$14:$N$16</definedName>
    <definedName name="P.F.Depreciation">Parameters!$J$25:$N$25</definedName>
    <definedName name="P.F.Dividends">Parameters!$J$28:$N$28</definedName>
    <definedName name="P.F.Int.Exp">'Debt Schedule'!$J$21:$N$21</definedName>
    <definedName name="P.F.Inventory">Parameters!$J$36:$N$36</definedName>
    <definedName name="P.F.Inventory.Days">Parameters!$J$36:$N$36</definedName>
    <definedName name="P.F.OpEx">Parameters!$J$20:$N$24</definedName>
    <definedName name="P.F.Prepaids">Parameters!$J$37:$N$37</definedName>
    <definedName name="P.F.Revenues">Parameters!$J$6:$N$8</definedName>
    <definedName name="P.F.Tax">Parameters!$J$27:$N$27</definedName>
    <definedName name="P.H.Accounts.Payable">Parameters!$G$38:$I$38</definedName>
    <definedName name="P.H.Accruds">Parameters!$G$39:$I$39</definedName>
    <definedName name="P.H.Accts.Rec.Days">Parameters!$G$35:$I$35</definedName>
    <definedName name="P.H.Amorization">Parameters!$G$26:$I$26</definedName>
    <definedName name="P.H.Buybacks">Parameters!$G$29:$I$29</definedName>
    <definedName name="P.H.CapEx">Parameters!$G$44:$I$44</definedName>
    <definedName name="P.H.COGS">Parameters!$G$14:$I$16</definedName>
    <definedName name="P.H.Depreciation">Parameters!$G$25:$I$25</definedName>
    <definedName name="P.H.Dividends">Parameters!$G$28:$I$28</definedName>
    <definedName name="P.H.Inventory.Days">Parameters!$G$36:$I$36</definedName>
    <definedName name="P.H.OpEx">Parameters!$G$20:$I$24</definedName>
    <definedName name="P.H.Prepaids">Parameters!$G$37:$I$37</definedName>
    <definedName name="P.H.Revenues">Parameters!$G$6:$I$8</definedName>
    <definedName name="price.mult">DCF!$I$58</definedName>
    <definedName name="price.perp">DCF!$H$58</definedName>
    <definedName name="Revenues">'Financial Statements'!$G$7:$I$7</definedName>
    <definedName name="share.price">DCF!$G$4</definedName>
    <definedName name="shares.outstanding">DCF!$G$5</definedName>
    <definedName name="Start.AccDep">Parameters!$G$43</definedName>
    <definedName name="Start.Goodwill">Parameters!$G$45</definedName>
    <definedName name="Start.Gross">Parameters!$G$42</definedName>
    <definedName name="Start.IP">Parameters!$G$46</definedName>
    <definedName name="Start.Retained.earnings">Parameters!$G$48</definedName>
    <definedName name="Start.Treasury">Parameters!$G$47</definedName>
    <definedName name="start.year">Parameters!$G$3</definedName>
    <definedName name="starting.cash">Parameters!$G$33</definedName>
    <definedName name="Stock">DCF!$G$3</definedName>
    <definedName name="Table.mult">DCF!$I$82:$M$86</definedName>
    <definedName name="Table.perp">DCF!$I$73:$M$77</definedName>
    <definedName name="Tax.Rate">Parameters!$G$27:$I$27</definedName>
    <definedName name="tax.Rate.">Parameters!$G$27:$K$27</definedName>
    <definedName name="Term.Ebitda">DCF!$K$16</definedName>
    <definedName name="terminal.Debt">DCF!$G$46</definedName>
    <definedName name="unlev.FCF">DCF!$G$26:$K$26</definedName>
    <definedName name="WACC">DCF!$G$13</definedName>
    <definedName name="years">Parameters!$G$4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1" i="3" l="1" a="1"/>
  <c r="I81" i="3" s="1"/>
  <c r="J104" i="3"/>
  <c r="H104" i="3"/>
  <c r="J105" i="3"/>
  <c r="H105" i="3"/>
  <c r="J106" i="3" a="1"/>
  <c r="J106" i="3" s="1"/>
  <c r="H106" i="3" a="1"/>
  <c r="H106" i="3" s="1"/>
  <c r="G38" i="3"/>
  <c r="H91" i="3" a="1"/>
  <c r="H91" i="3" s="1"/>
  <c r="G91" i="3" a="1"/>
  <c r="G91" i="3"/>
  <c r="I90" i="3" a="1"/>
  <c r="I90" i="3" s="1"/>
  <c r="G101" i="3" a="1"/>
  <c r="G101" i="3" s="1"/>
  <c r="H82" i="3" a="1"/>
  <c r="H82" i="3" s="1"/>
  <c r="H73" i="3" a="1"/>
  <c r="H73" i="3" s="1"/>
  <c r="I72" i="3" a="1"/>
  <c r="I72" i="3" s="1"/>
  <c r="B6" i="5" a="1"/>
  <c r="B6" i="5" s="1"/>
  <c r="C5" i="5" a="1"/>
  <c r="C5" i="5" s="1"/>
  <c r="N4" i="4"/>
  <c r="G44" i="3" a="1"/>
  <c r="G44" i="3"/>
  <c r="J35" i="1"/>
  <c r="K35" i="1" s="1"/>
  <c r="L35" i="1" s="1"/>
  <c r="J36" i="1"/>
  <c r="K36" i="1" s="1"/>
  <c r="L36" i="1" s="1"/>
  <c r="J37" i="1"/>
  <c r="K37" i="1" s="1"/>
  <c r="L37" i="1" s="1"/>
  <c r="J44" i="1"/>
  <c r="G45" i="3" a="1"/>
  <c r="G45" i="3" s="1"/>
  <c r="G18" i="3" a="1"/>
  <c r="G18" i="3" s="1"/>
  <c r="G19" i="3" s="1" a="1"/>
  <c r="G19" i="3" s="1"/>
  <c r="H27" i="1"/>
  <c r="I27" i="1" s="1"/>
  <c r="G17" i="3" a="1"/>
  <c r="G17" i="3" s="1"/>
  <c r="G22" i="3" s="1" a="1"/>
  <c r="G22" i="3" s="1"/>
  <c r="G15" i="3" a="1"/>
  <c r="G15" i="3" s="1"/>
  <c r="G10" i="3" a="1"/>
  <c r="G10" i="3" s="1"/>
  <c r="G9" i="3" a="1"/>
  <c r="G9" i="3" s="1"/>
  <c r="G6" i="3" a="1"/>
  <c r="G6" i="3" s="1"/>
  <c r="G5" i="3" a="1"/>
  <c r="G5" i="3" s="1"/>
  <c r="H57" i="3" s="1"/>
  <c r="I57" i="3" s="1"/>
  <c r="G4" i="3" a="1"/>
  <c r="G4" i="3" s="1"/>
  <c r="A1" i="3"/>
  <c r="H90" i="2" a="1"/>
  <c r="H90" i="2" s="1"/>
  <c r="H89" i="2" a="1"/>
  <c r="H89" i="2" s="1"/>
  <c r="H77" i="2"/>
  <c r="I77" i="2" s="1"/>
  <c r="J77" i="2" s="1"/>
  <c r="I75" i="2"/>
  <c r="J75" i="2" s="1"/>
  <c r="K75" i="2" s="1"/>
  <c r="H71" i="2"/>
  <c r="I70" i="2"/>
  <c r="J70" i="2" s="1"/>
  <c r="G69" i="2" a="1"/>
  <c r="G69" i="2" s="1"/>
  <c r="G71" i="2" s="1"/>
  <c r="G65" i="2" a="1"/>
  <c r="G65" i="2" s="1"/>
  <c r="I56" i="2"/>
  <c r="J56" i="2" s="1"/>
  <c r="K56" i="2" s="1"/>
  <c r="L56" i="2" s="1"/>
  <c r="M56" i="2" s="1"/>
  <c r="N56" i="2" s="1"/>
  <c r="H55" i="2"/>
  <c r="I55" i="2" s="1"/>
  <c r="J55" i="2" s="1"/>
  <c r="K55" i="2" s="1"/>
  <c r="L55" i="2" s="1"/>
  <c r="M55" i="2" s="1"/>
  <c r="N55" i="2" s="1"/>
  <c r="H53" i="2"/>
  <c r="I53" i="2" s="1"/>
  <c r="H52" i="2"/>
  <c r="H54" i="2" s="1"/>
  <c r="H57" i="2" s="1"/>
  <c r="G37" i="2" a="1"/>
  <c r="G37" i="2" s="1"/>
  <c r="G30" i="2" a="1"/>
  <c r="G30" i="2" s="1"/>
  <c r="G25" i="2" a="1"/>
  <c r="G25" i="2" s="1"/>
  <c r="G24" i="2" a="1"/>
  <c r="G24" i="2" s="1"/>
  <c r="H13" i="2"/>
  <c r="G10" i="2" a="1"/>
  <c r="G10" i="2" s="1"/>
  <c r="G13" i="2" s="1"/>
  <c r="H7" i="2"/>
  <c r="G4" i="2" a="1"/>
  <c r="G4" i="2" s="1"/>
  <c r="G7" i="2" s="1"/>
  <c r="H105" i="2"/>
  <c r="H100" i="2" a="1"/>
  <c r="H100" i="2" s="1"/>
  <c r="H102" i="2" s="1"/>
  <c r="J108" i="2" a="1"/>
  <c r="J108" i="2" s="1"/>
  <c r="J106" i="2"/>
  <c r="K106" i="2"/>
  <c r="L106" i="2"/>
  <c r="M106" i="2"/>
  <c r="N106" i="2"/>
  <c r="J105" i="2"/>
  <c r="K105" i="2"/>
  <c r="L105" i="2"/>
  <c r="M105" i="2"/>
  <c r="N105" i="2"/>
  <c r="I105" i="2"/>
  <c r="J89" i="2" a="1"/>
  <c r="J89" i="2" s="1"/>
  <c r="J90" i="2" a="1"/>
  <c r="J90" i="2" s="1"/>
  <c r="J85" i="2" a="1"/>
  <c r="J85" i="2" s="1"/>
  <c r="J69" i="2" a="1"/>
  <c r="J69" i="2" s="1"/>
  <c r="J65" i="2" a="1"/>
  <c r="J65" i="2" s="1"/>
  <c r="J64" i="2" a="1"/>
  <c r="J64" i="2" s="1"/>
  <c r="J63" i="2" a="1"/>
  <c r="J63" i="2" s="1"/>
  <c r="J66" i="2" s="1"/>
  <c r="K44" i="1"/>
  <c r="L44" i="1" s="1"/>
  <c r="M44" i="1" s="1"/>
  <c r="N44" i="1" s="1"/>
  <c r="J39" i="1"/>
  <c r="K38" i="1"/>
  <c r="L38" i="1"/>
  <c r="M38" i="1"/>
  <c r="N38" i="1"/>
  <c r="K39" i="1"/>
  <c r="L39" i="1" s="1"/>
  <c r="J38" i="1"/>
  <c r="J41" i="2" a="1"/>
  <c r="J41" i="2" s="1"/>
  <c r="J3" i="2" a="1"/>
  <c r="J3" i="2" s="1"/>
  <c r="J37" i="2" a="1"/>
  <c r="J37" i="2" s="1"/>
  <c r="J30" i="2" a="1"/>
  <c r="J30" i="2" s="1"/>
  <c r="J21" i="4" a="1"/>
  <c r="J21" i="4" s="1"/>
  <c r="K21" i="4" a="1"/>
  <c r="K21" i="4" s="1"/>
  <c r="L21" i="4" a="1"/>
  <c r="L21" i="4" s="1"/>
  <c r="M21" i="4" a="1"/>
  <c r="M21" i="4" s="1"/>
  <c r="N21" i="4" a="1"/>
  <c r="N21" i="4" s="1"/>
  <c r="K15" i="4"/>
  <c r="L15" i="4"/>
  <c r="M15" i="4"/>
  <c r="N15" i="4"/>
  <c r="K16" i="4"/>
  <c r="L16" i="4"/>
  <c r="M16" i="4"/>
  <c r="N16" i="4"/>
  <c r="K17" i="4"/>
  <c r="L17" i="4"/>
  <c r="M17" i="4" s="1"/>
  <c r="N17" i="4" s="1"/>
  <c r="K18" i="4"/>
  <c r="L18" i="4"/>
  <c r="M18" i="4"/>
  <c r="N18" i="4"/>
  <c r="K19" i="4"/>
  <c r="L19" i="4" s="1"/>
  <c r="M19" i="4" s="1"/>
  <c r="N19" i="4" s="1"/>
  <c r="J16" i="4"/>
  <c r="J17" i="4"/>
  <c r="J18" i="4"/>
  <c r="J19" i="4"/>
  <c r="J15" i="4"/>
  <c r="J11" i="4"/>
  <c r="J12" i="4" s="1"/>
  <c r="K11" i="4"/>
  <c r="K12" i="4" s="1"/>
  <c r="L11" i="4"/>
  <c r="L12" i="4" s="1"/>
  <c r="M11" i="4"/>
  <c r="M12" i="4" s="1"/>
  <c r="N11" i="4"/>
  <c r="N12" i="4"/>
  <c r="O3" i="4"/>
  <c r="O8" i="4" s="1"/>
  <c r="O4" i="4"/>
  <c r="O5" i="4"/>
  <c r="L4" i="4"/>
  <c r="M4" i="4" s="1"/>
  <c r="L5" i="4"/>
  <c r="M5" i="4"/>
  <c r="N5" i="4"/>
  <c r="L8" i="4"/>
  <c r="K8" i="4"/>
  <c r="K5" i="4"/>
  <c r="K4" i="4"/>
  <c r="L3" i="4"/>
  <c r="M3" i="4"/>
  <c r="N3" i="4" s="1"/>
  <c r="K3" i="4"/>
  <c r="J2" i="4" a="1"/>
  <c r="J2" i="4" s="1"/>
  <c r="J25" i="2" a="1"/>
  <c r="J25" i="2" s="1"/>
  <c r="J24" i="2" a="1"/>
  <c r="J19" i="2" a="1"/>
  <c r="J19" i="2" s="1"/>
  <c r="J15" i="2" a="1"/>
  <c r="J15" i="2" s="1"/>
  <c r="J16" i="2" s="1" a="1"/>
  <c r="J16" i="2" s="1"/>
  <c r="J13" i="2"/>
  <c r="K13" i="2"/>
  <c r="L13" i="2"/>
  <c r="M13" i="2"/>
  <c r="N13" i="2"/>
  <c r="J10" i="2" a="1"/>
  <c r="J10" i="2" s="1"/>
  <c r="J7" i="2"/>
  <c r="K7" i="2"/>
  <c r="L7" i="2"/>
  <c r="M7" i="2"/>
  <c r="N7" i="2"/>
  <c r="J4" i="2" a="1"/>
  <c r="J4" i="2" s="1"/>
  <c r="K6" i="1"/>
  <c r="L6" i="1" s="1"/>
  <c r="M6" i="1" s="1"/>
  <c r="N6" i="1" s="1"/>
  <c r="K7" i="1"/>
  <c r="L7" i="1"/>
  <c r="M7" i="1"/>
  <c r="N7" i="1"/>
  <c r="K8" i="1"/>
  <c r="L8" i="1" s="1"/>
  <c r="M8" i="1" s="1"/>
  <c r="N8" i="1" s="1"/>
  <c r="J8" i="1"/>
  <c r="J6" i="1"/>
  <c r="J7" i="1"/>
  <c r="K28" i="1"/>
  <c r="L28" i="1" s="1"/>
  <c r="M28" i="1" s="1"/>
  <c r="N28" i="1" s="1"/>
  <c r="K29" i="1"/>
  <c r="L29" i="1"/>
  <c r="M29" i="1" s="1"/>
  <c r="N29" i="1" s="1"/>
  <c r="K20" i="1"/>
  <c r="L20" i="1"/>
  <c r="M20" i="1"/>
  <c r="N20" i="1"/>
  <c r="K21" i="1"/>
  <c r="L21" i="1"/>
  <c r="M21" i="1"/>
  <c r="N21" i="1"/>
  <c r="K22" i="1"/>
  <c r="L22" i="1"/>
  <c r="M22" i="1"/>
  <c r="N22" i="1"/>
  <c r="K23" i="1"/>
  <c r="L23" i="1"/>
  <c r="M23" i="1"/>
  <c r="N23" i="1"/>
  <c r="K24" i="1"/>
  <c r="L24" i="1" s="1"/>
  <c r="M24" i="1" s="1"/>
  <c r="N24" i="1" s="1"/>
  <c r="K25" i="1"/>
  <c r="L25" i="1"/>
  <c r="M25" i="1"/>
  <c r="N25" i="1"/>
  <c r="K26" i="1"/>
  <c r="L26" i="1"/>
  <c r="M26" i="1"/>
  <c r="N26" i="1"/>
  <c r="J21" i="1"/>
  <c r="J22" i="1"/>
  <c r="J23" i="1"/>
  <c r="J24" i="1"/>
  <c r="J25" i="1"/>
  <c r="J26" i="1"/>
  <c r="J20" i="1"/>
  <c r="K14" i="1"/>
  <c r="M14" i="1" s="1"/>
  <c r="L14" i="1"/>
  <c r="K15" i="1"/>
  <c r="L15" i="1" s="1"/>
  <c r="K16" i="1"/>
  <c r="L16" i="1"/>
  <c r="J15" i="1"/>
  <c r="J16" i="1"/>
  <c r="J14" i="1"/>
  <c r="K12" i="1"/>
  <c r="L12" i="1"/>
  <c r="M12" i="1"/>
  <c r="N12" i="1"/>
  <c r="J12" i="1"/>
  <c r="I10" i="1"/>
  <c r="J10" i="1" s="1"/>
  <c r="I11" i="1"/>
  <c r="I12" i="1"/>
  <c r="H11" i="1"/>
  <c r="J11" i="1" s="1"/>
  <c r="H12" i="1"/>
  <c r="H10" i="1"/>
  <c r="D10" i="1" a="1"/>
  <c r="D10" i="1" s="1"/>
  <c r="G48" i="1"/>
  <c r="G78" i="2"/>
  <c r="G53" i="2"/>
  <c r="G52" i="2"/>
  <c r="I21" i="4" a="1"/>
  <c r="I21" i="4" s="1"/>
  <c r="G77" i="2"/>
  <c r="H75" i="2"/>
  <c r="I71" i="2"/>
  <c r="H70" i="2"/>
  <c r="H21" i="4" a="1"/>
  <c r="H21" i="4"/>
  <c r="G21" i="4" a="1"/>
  <c r="G21" i="4" s="1"/>
  <c r="C15" i="4" a="1"/>
  <c r="C15" i="4" s="1"/>
  <c r="H8" i="4"/>
  <c r="G8" i="4"/>
  <c r="I7" i="4"/>
  <c r="J7" i="4"/>
  <c r="H7" i="4"/>
  <c r="H6" i="4"/>
  <c r="I6" i="4" s="1"/>
  <c r="H39" i="1"/>
  <c r="I39" i="1" s="1"/>
  <c r="G113" i="2"/>
  <c r="H112" i="2" s="1"/>
  <c r="I106" i="2"/>
  <c r="H106" i="2"/>
  <c r="H107" i="2" a="1"/>
  <c r="H107" i="2" s="1"/>
  <c r="H108" i="2" a="1"/>
  <c r="H108" i="2" s="1"/>
  <c r="G85" i="2" a="1"/>
  <c r="G85" i="2" s="1"/>
  <c r="G56" i="2"/>
  <c r="H56" i="2" s="1"/>
  <c r="G55" i="2"/>
  <c r="I44" i="1"/>
  <c r="H37" i="1"/>
  <c r="I37" i="1" s="1"/>
  <c r="H26" i="1"/>
  <c r="I26" i="1" s="1"/>
  <c r="H25" i="1"/>
  <c r="I25" i="1" s="1"/>
  <c r="H24" i="1"/>
  <c r="I24" i="1" s="1"/>
  <c r="H23" i="1"/>
  <c r="I23" i="1" s="1"/>
  <c r="H22" i="1"/>
  <c r="I22" i="1" s="1"/>
  <c r="H21" i="1"/>
  <c r="I21" i="1" s="1"/>
  <c r="H20" i="1"/>
  <c r="I20" i="1" s="1"/>
  <c r="D10" i="2" a="1"/>
  <c r="D10" i="2" s="1"/>
  <c r="D14" i="1" a="1"/>
  <c r="D14" i="1" s="1"/>
  <c r="A1" i="2"/>
  <c r="G4" i="1" a="1"/>
  <c r="G4" i="1" s="1"/>
  <c r="G41" i="2" s="1" a="1"/>
  <c r="G41" i="2" s="1"/>
  <c r="I104" i="3" l="1"/>
  <c r="I105" i="3"/>
  <c r="I106" i="3"/>
  <c r="J107" i="2" a="1"/>
  <c r="J107" i="2" s="1"/>
  <c r="J109" i="2" s="1"/>
  <c r="K77" i="2"/>
  <c r="L77" i="2" s="1"/>
  <c r="M77" i="2" s="1"/>
  <c r="N77" i="2" s="1"/>
  <c r="G25" i="3" a="1"/>
  <c r="G25" i="3" s="1"/>
  <c r="J100" i="2" a="1"/>
  <c r="G16" i="3" a="1"/>
  <c r="J27" i="1"/>
  <c r="K27" i="1" s="1"/>
  <c r="L27" i="1" s="1"/>
  <c r="M27" i="1" s="1"/>
  <c r="N27" i="1" s="1"/>
  <c r="I9" i="3" a="1"/>
  <c r="I9" i="3" s="1"/>
  <c r="N96" i="2"/>
  <c r="N95" i="2"/>
  <c r="M96" i="2"/>
  <c r="K96" i="2"/>
  <c r="M95" i="2"/>
  <c r="L95" i="2"/>
  <c r="K95" i="2"/>
  <c r="N66" i="2"/>
  <c r="M66" i="2"/>
  <c r="L66" i="2"/>
  <c r="K66" i="2"/>
  <c r="L96" i="2"/>
  <c r="K70" i="2"/>
  <c r="J71" i="2"/>
  <c r="G64" i="2" a="1"/>
  <c r="G19" i="2" a="1"/>
  <c r="G15" i="2" a="1"/>
  <c r="G15" i="2" s="1"/>
  <c r="G45" i="2" a="1"/>
  <c r="G47" i="2" a="1"/>
  <c r="G63" i="2" a="1"/>
  <c r="G46" i="2" a="1"/>
  <c r="H109" i="2"/>
  <c r="I52" i="2"/>
  <c r="J52" i="2" s="1"/>
  <c r="K52" i="2" s="1"/>
  <c r="L52" i="2" s="1"/>
  <c r="J24" i="2"/>
  <c r="M26" i="2"/>
  <c r="K26" i="2"/>
  <c r="L26" i="2"/>
  <c r="N26" i="2"/>
  <c r="L75" i="2"/>
  <c r="M52" i="2"/>
  <c r="M39" i="1"/>
  <c r="N39" i="1"/>
  <c r="M37" i="1"/>
  <c r="N37" i="1" s="1"/>
  <c r="M36" i="1"/>
  <c r="N36" i="1" s="1"/>
  <c r="M35" i="1"/>
  <c r="N35" i="1" s="1"/>
  <c r="N8" i="4"/>
  <c r="M8" i="4"/>
  <c r="M15" i="1"/>
  <c r="N15" i="1" s="1"/>
  <c r="M16" i="1"/>
  <c r="N16" i="1" s="1"/>
  <c r="N14" i="1"/>
  <c r="K10" i="1"/>
  <c r="K11" i="1"/>
  <c r="L11" i="1" s="1"/>
  <c r="M11" i="1"/>
  <c r="N11" i="1"/>
  <c r="I109" i="2"/>
  <c r="G54" i="2"/>
  <c r="G79" i="2"/>
  <c r="J4" i="1" a="1"/>
  <c r="J4" i="1" s="1"/>
  <c r="G57" i="2"/>
  <c r="J6" i="4"/>
  <c r="J8" i="4" s="1"/>
  <c r="I8" i="4"/>
  <c r="H11" i="4"/>
  <c r="H12" i="4" s="1"/>
  <c r="G11" i="4"/>
  <c r="G12" i="4" s="1"/>
  <c r="G3" i="2" a="1"/>
  <c r="G3" i="2" s="1"/>
  <c r="I13" i="2"/>
  <c r="I7" i="2"/>
  <c r="G16" i="3" l="1"/>
  <c r="G40" i="3"/>
  <c r="I50" i="3" s="1"/>
  <c r="K109" i="2"/>
  <c r="M109" i="2"/>
  <c r="N109" i="2"/>
  <c r="L109" i="2"/>
  <c r="J45" i="2" a="1"/>
  <c r="J45" i="2" s="1"/>
  <c r="J92" i="2" s="1"/>
  <c r="J46" i="2" a="1"/>
  <c r="J46" i="2" s="1"/>
  <c r="K93" i="2" s="1"/>
  <c r="J47" i="2" a="1"/>
  <c r="M93" i="2"/>
  <c r="L93" i="2"/>
  <c r="N93" i="2"/>
  <c r="J100" i="2"/>
  <c r="J102" i="2" s="1"/>
  <c r="K102" i="2"/>
  <c r="L102" i="2"/>
  <c r="M102" i="2"/>
  <c r="N102" i="2"/>
  <c r="I20" i="3"/>
  <c r="J20" i="3"/>
  <c r="H20" i="3"/>
  <c r="K20" i="3"/>
  <c r="G63" i="2"/>
  <c r="H95" i="2" s="1"/>
  <c r="I95" i="2"/>
  <c r="H66" i="2"/>
  <c r="J95" i="2"/>
  <c r="G47" i="2"/>
  <c r="H94" i="2" s="1"/>
  <c r="I94" i="2"/>
  <c r="G45" i="2"/>
  <c r="H92" i="2" s="1"/>
  <c r="I92" i="2"/>
  <c r="G19" i="2"/>
  <c r="G26" i="2" s="1"/>
  <c r="H26" i="2"/>
  <c r="G64" i="2"/>
  <c r="H96" i="2" s="1"/>
  <c r="I96" i="2"/>
  <c r="J96" i="2"/>
  <c r="G46" i="2"/>
  <c r="H93" i="2" s="1"/>
  <c r="I93" i="2"/>
  <c r="J93" i="2"/>
  <c r="G16" i="2" a="1"/>
  <c r="G16" i="2" s="1"/>
  <c r="L70" i="2"/>
  <c r="K71" i="2"/>
  <c r="J53" i="2"/>
  <c r="J26" i="2"/>
  <c r="J28" i="2" s="1" a="1"/>
  <c r="J28" i="2" s="1"/>
  <c r="J32" i="2" s="1" a="1"/>
  <c r="J32" i="2" s="1"/>
  <c r="J34" i="2" s="1" a="1"/>
  <c r="J34" i="2" s="1"/>
  <c r="J36" i="2" s="1" a="1"/>
  <c r="J36" i="2" s="1"/>
  <c r="M75" i="2"/>
  <c r="N52" i="2"/>
  <c r="L10" i="1"/>
  <c r="I102" i="2"/>
  <c r="I11" i="4"/>
  <c r="I12" i="4"/>
  <c r="K92" i="2" l="1"/>
  <c r="N92" i="2"/>
  <c r="L92" i="2"/>
  <c r="M92" i="2"/>
  <c r="J47" i="2"/>
  <c r="M94" i="2"/>
  <c r="N94" i="2"/>
  <c r="K23" i="3" s="1"/>
  <c r="L94" i="2"/>
  <c r="I23" i="3" s="1"/>
  <c r="J23" i="3"/>
  <c r="M70" i="2"/>
  <c r="L71" i="2"/>
  <c r="J87" i="2" a="1"/>
  <c r="J38" i="2" a="1"/>
  <c r="J38" i="2" s="1"/>
  <c r="K53" i="2"/>
  <c r="J54" i="2"/>
  <c r="J57" i="2" s="1"/>
  <c r="N75" i="2"/>
  <c r="M10" i="1"/>
  <c r="N10" i="1" s="1"/>
  <c r="I66" i="2"/>
  <c r="I26" i="2"/>
  <c r="G28" i="2" s="1" a="1"/>
  <c r="G28" i="2" s="1"/>
  <c r="I54" i="2"/>
  <c r="I57" i="2" s="1"/>
  <c r="K94" i="2" l="1"/>
  <c r="H23" i="3" s="1"/>
  <c r="J94" i="2"/>
  <c r="G23" i="3" s="1"/>
  <c r="J87" i="2"/>
  <c r="J97" i="2" s="1"/>
  <c r="L97" i="2"/>
  <c r="M97" i="2"/>
  <c r="N97" i="2"/>
  <c r="K97" i="2"/>
  <c r="N70" i="2"/>
  <c r="N71" i="2" s="1"/>
  <c r="J72" i="2" s="1" a="1"/>
  <c r="J72" i="2" s="1"/>
  <c r="M71" i="2"/>
  <c r="L53" i="2"/>
  <c r="K54" i="2"/>
  <c r="K57" i="2" s="1"/>
  <c r="G32" i="2" a="1"/>
  <c r="G66" i="2"/>
  <c r="G72" i="2" s="1" a="1"/>
  <c r="G72" i="2" s="1"/>
  <c r="J111" i="2" l="1" a="1"/>
  <c r="J111" i="2" s="1"/>
  <c r="M53" i="2"/>
  <c r="L54" i="2"/>
  <c r="L57" i="2" s="1"/>
  <c r="G32" i="2"/>
  <c r="G34" i="2" s="1" a="1"/>
  <c r="N53" i="2" l="1"/>
  <c r="N54" i="2" s="1"/>
  <c r="N57" i="2" s="1"/>
  <c r="M54" i="2"/>
  <c r="M57" i="2" s="1"/>
  <c r="G34" i="2"/>
  <c r="G36" i="2" s="1" a="1"/>
  <c r="G36" i="2" s="1"/>
  <c r="G87" i="2" l="1" a="1"/>
  <c r="G38" i="2" a="1"/>
  <c r="G38" i="2" l="1"/>
  <c r="H78" i="2"/>
  <c r="G87" i="2"/>
  <c r="H97" i="2"/>
  <c r="I97" i="2"/>
  <c r="H111" i="2" l="1" a="1"/>
  <c r="H111" i="2" s="1"/>
  <c r="H113" i="2" s="1"/>
  <c r="I78" i="2"/>
  <c r="J78" i="2" s="1"/>
  <c r="H79" i="2"/>
  <c r="I79" i="2" l="1"/>
  <c r="G11" i="3" s="1" a="1"/>
  <c r="G11" i="3" s="1"/>
  <c r="G12" i="3" s="1"/>
  <c r="H9" i="3" s="1" a="1"/>
  <c r="H9" i="3" s="1"/>
  <c r="G13" i="3" s="1"/>
  <c r="K78" i="2"/>
  <c r="J79" i="2"/>
  <c r="I112" i="2"/>
  <c r="I113" i="2" s="1"/>
  <c r="G27" i="3" l="1"/>
  <c r="H27" i="3"/>
  <c r="I27" i="3"/>
  <c r="J27" i="3"/>
  <c r="K27" i="3"/>
  <c r="H51" i="3" s="1" a="1"/>
  <c r="H51" i="3" s="1"/>
  <c r="I51" i="3" s="1"/>
  <c r="I52" i="3" s="1"/>
  <c r="G80" i="2" a="1"/>
  <c r="G80" i="2" s="1"/>
  <c r="G44" i="2" a="1"/>
  <c r="G44" i="2" s="1"/>
  <c r="G48" i="2" s="1"/>
  <c r="J112" i="2"/>
  <c r="J113" i="2" s="1"/>
  <c r="K79" i="2"/>
  <c r="L78" i="2"/>
  <c r="I48" i="2" l="1"/>
  <c r="H48" i="2"/>
  <c r="K112" i="2"/>
  <c r="K113" i="2" s="1"/>
  <c r="L112" i="2" s="1"/>
  <c r="L113" i="2" s="1"/>
  <c r="M112" i="2" s="1"/>
  <c r="M113" i="2" s="1"/>
  <c r="N112" i="2" s="1"/>
  <c r="N113" i="2" s="1"/>
  <c r="G43" i="3" s="1" a="1"/>
  <c r="G43" i="3" s="1"/>
  <c r="G46" i="3" s="1"/>
  <c r="M78" i="2"/>
  <c r="L79" i="2"/>
  <c r="I55" i="3" l="1"/>
  <c r="H55" i="3"/>
  <c r="G58" i="2" a="1"/>
  <c r="G58" i="2" s="1"/>
  <c r="G82" i="2" s="1" a="1"/>
  <c r="G82" i="2" s="1"/>
  <c r="J44" i="2" a="1"/>
  <c r="N78" i="2"/>
  <c r="N79" i="2" s="1"/>
  <c r="M79" i="2"/>
  <c r="J80" i="2" l="1" a="1"/>
  <c r="J80" i="2" s="1"/>
  <c r="J44" i="2"/>
  <c r="J48" i="2" s="1"/>
  <c r="J58" i="2" s="1"/>
  <c r="L48" i="2"/>
  <c r="L58" i="2" s="1"/>
  <c r="N48" i="2"/>
  <c r="N58" i="2" s="1"/>
  <c r="M48" i="2"/>
  <c r="M58" i="2" s="1"/>
  <c r="K48" i="2"/>
  <c r="K58" i="2" s="1"/>
  <c r="J82" i="2" l="1" a="1"/>
  <c r="J82" i="2" s="1"/>
  <c r="G20" i="3"/>
  <c r="G24" i="3" s="1" a="1"/>
  <c r="G24" i="3" s="1"/>
  <c r="G26" i="3" s="1" a="1"/>
  <c r="G26" i="3" l="1"/>
  <c r="G28" i="3" s="1"/>
  <c r="G32" i="3" a="1"/>
  <c r="G32" i="3" s="1"/>
  <c r="G34" i="3" s="1"/>
  <c r="G35" i="3" s="1"/>
  <c r="H50" i="3" s="1"/>
  <c r="H52" i="3" s="1"/>
  <c r="I53" i="3" l="1"/>
  <c r="H53" i="3"/>
  <c r="H54" i="3" l="1" a="1"/>
  <c r="H54" i="3" s="1"/>
  <c r="H56" i="3" s="1" a="1"/>
  <c r="H56" i="3" s="1"/>
  <c r="H58" i="3" s="1" a="1"/>
  <c r="H81" i="3" s="1"/>
  <c r="H58" i="3" l="1"/>
  <c r="H72" i="3" s="1"/>
  <c r="I59" i="3"/>
  <c r="H90" i="3"/>
  <c r="B5" i="5" l="1"/>
  <c r="H59" i="3"/>
  <c r="H64" i="3"/>
  <c r="K105" i="3" l="1"/>
  <c r="K106" i="3"/>
  <c r="K104"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6"/>
        </ext>
      </extLst>
    </bk>
  </futureMetadata>
  <cellMetadata count="1">
    <bk>
      <rc t="1" v="0"/>
    </bk>
  </cellMetadata>
  <valueMetadata count="1">
    <bk>
      <rc t="2" v="0"/>
    </bk>
  </valueMetadata>
</metadata>
</file>

<file path=xl/sharedStrings.xml><?xml version="1.0" encoding="utf-8"?>
<sst xmlns="http://schemas.openxmlformats.org/spreadsheetml/2006/main" count="222" uniqueCount="188">
  <si>
    <t>Parameters</t>
  </si>
  <si>
    <t xml:space="preserve"> Company name</t>
  </si>
  <si>
    <t>LeBronLiBerty Inc.</t>
  </si>
  <si>
    <t>Starting Year</t>
  </si>
  <si>
    <t>Financial Statements Assumptions</t>
  </si>
  <si>
    <t>Revenues</t>
  </si>
  <si>
    <t>Basketballs</t>
  </si>
  <si>
    <t>Shoes</t>
  </si>
  <si>
    <t>Apparel</t>
  </si>
  <si>
    <t>Deltas</t>
  </si>
  <si>
    <t>Costs of Goods Sold</t>
  </si>
  <si>
    <t>OpEx</t>
  </si>
  <si>
    <t>Rent</t>
  </si>
  <si>
    <t>Elctricity</t>
  </si>
  <si>
    <t>Phone</t>
  </si>
  <si>
    <t>Insurance</t>
  </si>
  <si>
    <t>Payroll</t>
  </si>
  <si>
    <t>Depreciation</t>
  </si>
  <si>
    <t>Amorizarion</t>
  </si>
  <si>
    <t>Tax Rate</t>
  </si>
  <si>
    <t>Cash Dividends</t>
  </si>
  <si>
    <t>Stock Buybacks</t>
  </si>
  <si>
    <t>Balance Sheet Assumptions</t>
  </si>
  <si>
    <t>Starting Cash</t>
  </si>
  <si>
    <t>Working Capital Assumptions</t>
  </si>
  <si>
    <t>Accounts Receivable (Days of Revenues)</t>
  </si>
  <si>
    <t>Inventory (days of COGS)</t>
  </si>
  <si>
    <t>Prepaid Expenses (% Revenues)</t>
  </si>
  <si>
    <t>Accounts Payable (Dats of COGS)</t>
  </si>
  <si>
    <t>Accrued Liabilities</t>
  </si>
  <si>
    <t>PP&amp;E</t>
  </si>
  <si>
    <t>Starting Gross</t>
  </si>
  <si>
    <t>Starting AccDep</t>
  </si>
  <si>
    <t>Capital Expenditures (CapEx)</t>
  </si>
  <si>
    <t>Starting Goodwill</t>
  </si>
  <si>
    <t>Starting Intillectual Property</t>
  </si>
  <si>
    <t>Stating Treasury Stock</t>
  </si>
  <si>
    <t>Starting Retained Earnings</t>
  </si>
  <si>
    <t>Income Statement</t>
  </si>
  <si>
    <t>Total Revenues</t>
  </si>
  <si>
    <t>Cost of Goods Sold</t>
  </si>
  <si>
    <t>Gross Margin</t>
  </si>
  <si>
    <t>% of Sales</t>
  </si>
  <si>
    <t>Net Operating Expenses</t>
  </si>
  <si>
    <t>Earnings Before Interest &amp; Taxes (EBIT)</t>
  </si>
  <si>
    <t>Interest Expense</t>
  </si>
  <si>
    <t>Earnings Befor Taxes(EBT)</t>
  </si>
  <si>
    <t>Income Tax Expense</t>
  </si>
  <si>
    <t>Net Income</t>
  </si>
  <si>
    <t>Less: Cash Dividends</t>
  </si>
  <si>
    <t>Change in Retained Earnings</t>
  </si>
  <si>
    <t>Balance Sheet</t>
  </si>
  <si>
    <t>Assets</t>
  </si>
  <si>
    <t>Short Term Assets</t>
  </si>
  <si>
    <t>Cash</t>
  </si>
  <si>
    <t>Accounts Receivable</t>
  </si>
  <si>
    <t>Inventory</t>
  </si>
  <si>
    <t>Prepaid Expenses</t>
  </si>
  <si>
    <t>Total Shot Term Assets</t>
  </si>
  <si>
    <t>Long Term Assets</t>
  </si>
  <si>
    <t>Property, Plant, Equipment</t>
  </si>
  <si>
    <t>Gross PP&amp;E</t>
  </si>
  <si>
    <t>Accumulated Depreciation</t>
  </si>
  <si>
    <t>Net PP&amp;E</t>
  </si>
  <si>
    <t>Goodwill</t>
  </si>
  <si>
    <t>Intillectual Property</t>
  </si>
  <si>
    <t>Total Long Term Assets</t>
  </si>
  <si>
    <t>Total Assets</t>
  </si>
  <si>
    <t>Liabilities &amp; Equity</t>
  </si>
  <si>
    <t>Liabilities</t>
  </si>
  <si>
    <t>Short-Term Liabilities</t>
  </si>
  <si>
    <t>Accounts Payable</t>
  </si>
  <si>
    <t>Current Potion of Notes Payable</t>
  </si>
  <si>
    <t>Total Short Term Liabilities</t>
  </si>
  <si>
    <t>Long Term Liabilities</t>
  </si>
  <si>
    <t>Notes Payable</t>
  </si>
  <si>
    <t>Capitalized Lease</t>
  </si>
  <si>
    <t>Total Long Term Liabilities</t>
  </si>
  <si>
    <t>Total Liabilities</t>
  </si>
  <si>
    <t>Shareholdes Equity</t>
  </si>
  <si>
    <t>Prefered Stock</t>
  </si>
  <si>
    <t>Common Stock</t>
  </si>
  <si>
    <t>Treasury Shares</t>
  </si>
  <si>
    <t>Retained Earnings</t>
  </si>
  <si>
    <t>Total Equity</t>
  </si>
  <si>
    <t>Total Liabilities &amp; Equity</t>
  </si>
  <si>
    <t>Checksum</t>
  </si>
  <si>
    <t>Statement of Cash Flow</t>
  </si>
  <si>
    <t>Cash from Opperations</t>
  </si>
  <si>
    <t>Add Back:</t>
  </si>
  <si>
    <t>Depeciation Expense</t>
  </si>
  <si>
    <t>Amortization Expense</t>
  </si>
  <si>
    <t>Change in Working Capital</t>
  </si>
  <si>
    <t>Inentory</t>
  </si>
  <si>
    <t>Net Cash from Operations</t>
  </si>
  <si>
    <t>Cash From Investments</t>
  </si>
  <si>
    <t>CapEx</t>
  </si>
  <si>
    <t>Gain/(Loss) on Disposals</t>
  </si>
  <si>
    <t>Net Cash from Investments</t>
  </si>
  <si>
    <t>Cash from Financing</t>
  </si>
  <si>
    <t>Borrowing/(repayment) of Debt</t>
  </si>
  <si>
    <t>Issuance of Shares</t>
  </si>
  <si>
    <t>Stock Repurchase</t>
  </si>
  <si>
    <t>Net Cash from Financing</t>
  </si>
  <si>
    <t>Net Change in Cash</t>
  </si>
  <si>
    <t>Cash @ Beginning of Year</t>
  </si>
  <si>
    <t>Cash @ End of Year</t>
  </si>
  <si>
    <t>Weighted Average Cost of Capital (WACC)</t>
  </si>
  <si>
    <t>Assumptions</t>
  </si>
  <si>
    <t>Share Price</t>
  </si>
  <si>
    <t>Shares Oustanding(mm of shares)</t>
  </si>
  <si>
    <t>Market Cap ($mm)</t>
  </si>
  <si>
    <t>Capital Costs</t>
  </si>
  <si>
    <t>Ammount</t>
  </si>
  <si>
    <t>Weight</t>
  </si>
  <si>
    <t>Cost</t>
  </si>
  <si>
    <t>Debt</t>
  </si>
  <si>
    <t>Total Capital</t>
  </si>
  <si>
    <t>Weighted Average Cost of Capital</t>
  </si>
  <si>
    <t>Free Cash Flow Build up</t>
  </si>
  <si>
    <t>EBITDA</t>
  </si>
  <si>
    <t>Less: Depreciation &amp; Amortization</t>
  </si>
  <si>
    <t>EBIT</t>
  </si>
  <si>
    <t>Less:Income Taxes</t>
  </si>
  <si>
    <t>EBIAT(NOPAT- Net)</t>
  </si>
  <si>
    <t>Adjustments</t>
  </si>
  <si>
    <t>Add Back: Dep &amp; Amort</t>
  </si>
  <si>
    <t>Unlevered Cash From Operations</t>
  </si>
  <si>
    <t>Less:CapEx</t>
  </si>
  <si>
    <t>Unlevered Free Cash Flow</t>
  </si>
  <si>
    <t>Discount factor</t>
  </si>
  <si>
    <t>NPV or FCF</t>
  </si>
  <si>
    <t>Terminal Value Estimations</t>
  </si>
  <si>
    <t>Perpituity Approach</t>
  </si>
  <si>
    <t>Unlevered FCF in Year 5</t>
  </si>
  <si>
    <t>Long Term Growth Rate</t>
  </si>
  <si>
    <t>Estimated FCF Time T+1</t>
  </si>
  <si>
    <t>Estimated Terminal Enterprise Value</t>
  </si>
  <si>
    <t>Exit EBITDA Multiple Approach</t>
  </si>
  <si>
    <t>Terminal EBITDA</t>
  </si>
  <si>
    <t>Expected Market Multiple</t>
  </si>
  <si>
    <t>EBITDA Terminal Enterprise Value</t>
  </si>
  <si>
    <t>Capital Stack</t>
  </si>
  <si>
    <t>Prefered Shares</t>
  </si>
  <si>
    <t>Net Debt</t>
  </si>
  <si>
    <t>Fair Value Per Share</t>
  </si>
  <si>
    <t>Approach</t>
  </si>
  <si>
    <t>Valuation Mathodology</t>
  </si>
  <si>
    <t>Perpetuity</t>
  </si>
  <si>
    <t>EBITDA Mult</t>
  </si>
  <si>
    <t>Terminal Value</t>
  </si>
  <si>
    <t>Discount Factor</t>
  </si>
  <si>
    <t>Discounted TV</t>
  </si>
  <si>
    <t>Net Present Value FCF</t>
  </si>
  <si>
    <t>Enterprise Value</t>
  </si>
  <si>
    <t>Less:Net Debt</t>
  </si>
  <si>
    <t>Net Equity Value (aka net residual value)</t>
  </si>
  <si>
    <t>Total Diluted Shaes Outstanding</t>
  </si>
  <si>
    <t>Equity Value per Share</t>
  </si>
  <si>
    <t>Market premium/ Discount to Estimate</t>
  </si>
  <si>
    <t>Golden Flash Hybrid Inference Valuation</t>
  </si>
  <si>
    <t xml:space="preserve"> Model Weights (based on proprietary analysis)</t>
  </si>
  <si>
    <t>GFHIVM Valuation</t>
  </si>
  <si>
    <t>Equity Value Per Share</t>
  </si>
  <si>
    <t>Long Term Growth</t>
  </si>
  <si>
    <t>WACC</t>
  </si>
  <si>
    <t>EBITDA Multiple</t>
  </si>
  <si>
    <t>EBITDA 
% of Forecast</t>
  </si>
  <si>
    <t>Football Field Calculations</t>
  </si>
  <si>
    <t>Low</t>
  </si>
  <si>
    <t>Difference</t>
  </si>
  <si>
    <t>High</t>
  </si>
  <si>
    <t>GFHIV Valuation</t>
  </si>
  <si>
    <t>DCF Value- Multiplier 8x-12x</t>
  </si>
  <si>
    <t>DCF Value- Growth Rate 2%-3%</t>
  </si>
  <si>
    <t>52 Week Market high/low</t>
  </si>
  <si>
    <t>DCF Football Field and Scenarios for Lebron Liberty v1</t>
  </si>
  <si>
    <t>Debt Schedule</t>
  </si>
  <si>
    <t>Debt Table</t>
  </si>
  <si>
    <t>Hunington Revolver</t>
  </si>
  <si>
    <t>PNC Term Loan</t>
  </si>
  <si>
    <t>Key Bank Term Loan</t>
  </si>
  <si>
    <t>tbd</t>
  </si>
  <si>
    <t>Total Debt</t>
  </si>
  <si>
    <t>Current Portion Calculation</t>
  </si>
  <si>
    <t>Short Term</t>
  </si>
  <si>
    <t>Long Term</t>
  </si>
  <si>
    <t>Interest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</si>
</sst>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0&quot;H&quot;"/>
    <numFmt numFmtId="165" formatCode="_(* #,##0_);_(* \(#,##0\);_(* &quot;-&quot;??_);_(@_)"/>
    <numFmt numFmtId="166" formatCode="_(&quot;$&quot;* #,##0_);_(&quot;$&quot;* \(#,##0\);_(&quot;$&quot;* &quot;-&quot;??_);_(@_)"/>
    <numFmt numFmtId="167" formatCode="0.0%"/>
    <numFmt numFmtId="168" formatCode="_(* #,##0.00000000000000000000_);_(* \(#,##0.00000000000000000000\);_(* &quot;-&quot;??_);_(@_)"/>
    <numFmt numFmtId="169" formatCode="0&quot;F&quot;"/>
    <numFmt numFmtId="170" formatCode="_([$$-409]* #,##0.00_);_([$$-409]* \(#,##0.00\);_([$$-409]* &quot;-&quot;??_);_(@_)"/>
    <numFmt numFmtId="171" formatCode="_([$$-409]* #,##0_);_([$$-409]* \(#,##0\);_([$$-409]* &quot;-&quot;_);_(@_)"/>
    <numFmt numFmtId="172" formatCode="0.0&quot;X&quot;"/>
  </numFmts>
  <fonts count="10">
    <font>
      <sz val="11"/>
      <color theme="1"/>
      <name val="Aptos Narrow"/>
      <family val="2"/>
      <scheme val="minor"/>
    </font>
    <font>
      <sz val="11"/>
      <color theme="1"/>
      <name val="Aptos Narrow"/>
      <family val="2"/>
      <scheme val="minor"/>
    </font>
    <font>
      <sz val="18"/>
      <color theme="3"/>
      <name val="Aptos Display"/>
      <family val="2"/>
      <scheme val="major"/>
    </font>
    <font>
      <sz val="10"/>
      <color theme="1"/>
      <name val="Aptos Narrow"/>
      <family val="2"/>
      <scheme val="minor"/>
    </font>
    <font>
      <b/>
      <sz val="12"/>
      <color theme="1"/>
      <name val="Aptos Narrow"/>
      <family val="2"/>
      <scheme val="minor"/>
    </font>
    <font>
      <b/>
      <sz val="16"/>
      <color theme="1"/>
      <name val="Aptos Narrow"/>
      <family val="2"/>
      <scheme val="minor"/>
    </font>
    <font>
      <sz val="11"/>
      <color theme="0"/>
      <name val="Aptos Narrow"/>
      <family val="2"/>
      <scheme val="minor"/>
    </font>
    <font>
      <sz val="16"/>
      <color theme="1"/>
      <name val="Aptos Narrow"/>
      <family val="2"/>
      <scheme val="minor"/>
    </font>
    <font>
      <sz val="14"/>
      <color theme="1"/>
      <name val="Aptos Narrow"/>
      <family val="2"/>
      <scheme val="minor"/>
    </font>
    <font>
      <sz val="11"/>
      <color rgb="FF242424"/>
      <name val="Aptos Narrow"/>
      <charset val="1"/>
    </font>
  </fonts>
  <fills count="14">
    <fill>
      <patternFill patternType="none"/>
    </fill>
    <fill>
      <patternFill patternType="gray125"/>
    </fill>
    <fill>
      <patternFill patternType="solid">
        <fgColor theme="7"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1"/>
        <bgColor indexed="64"/>
      </patternFill>
    </fill>
    <fill>
      <patternFill patternType="solid">
        <fgColor theme="6" tint="-0.249977111117893"/>
        <bgColor indexed="64"/>
      </patternFill>
    </fill>
  </fills>
  <borders count="24">
    <border>
      <left/>
      <right/>
      <top/>
      <bottom/>
      <diagonal/>
    </border>
    <border>
      <left/>
      <right/>
      <top style="thin">
        <color indexed="64"/>
      </top>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style="medium">
        <color indexed="64"/>
      </right>
      <top/>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164" fontId="1" fillId="2" borderId="0"/>
    <xf numFmtId="165" fontId="1" fillId="0" borderId="0"/>
    <xf numFmtId="9" fontId="1" fillId="0" borderId="0" applyFont="0" applyFill="0" applyBorder="0" applyAlignment="0" applyProtection="0"/>
    <xf numFmtId="169" fontId="1" fillId="7" borderId="0"/>
  </cellStyleXfs>
  <cellXfs count="103">
    <xf numFmtId="0" fontId="0" fillId="0" borderId="0" xfId="0"/>
    <xf numFmtId="0" fontId="2" fillId="0" borderId="0" xfId="3"/>
    <xf numFmtId="164" fontId="0" fillId="2" borderId="0" xfId="0" applyNumberFormat="1" applyFill="1"/>
    <xf numFmtId="165" fontId="0" fillId="0" borderId="0" xfId="1" applyNumberFormat="1" applyFont="1"/>
    <xf numFmtId="9" fontId="0" fillId="0" borderId="0" xfId="0" applyNumberFormat="1"/>
    <xf numFmtId="3" fontId="0" fillId="3" borderId="0" xfId="0" applyNumberFormat="1" applyFill="1"/>
    <xf numFmtId="165" fontId="1" fillId="0" borderId="0" xfId="5"/>
    <xf numFmtId="0" fontId="3" fillId="0" borderId="0" xfId="0" applyFont="1"/>
    <xf numFmtId="164" fontId="1" fillId="2" borderId="0" xfId="4"/>
    <xf numFmtId="166" fontId="0" fillId="0" borderId="0" xfId="2" applyNumberFormat="1" applyFont="1" applyAlignment="1"/>
    <xf numFmtId="165" fontId="0" fillId="0" borderId="0" xfId="1" applyNumberFormat="1" applyFont="1" applyAlignment="1"/>
    <xf numFmtId="165" fontId="0" fillId="4" borderId="1" xfId="0" applyNumberFormat="1" applyFill="1" applyBorder="1"/>
    <xf numFmtId="3" fontId="0" fillId="0" borderId="0" xfId="0" applyNumberFormat="1"/>
    <xf numFmtId="3" fontId="0" fillId="4" borderId="1" xfId="0" applyNumberFormat="1" applyFill="1" applyBorder="1"/>
    <xf numFmtId="9" fontId="0" fillId="0" borderId="0" xfId="6" applyFont="1" applyAlignment="1"/>
    <xf numFmtId="165" fontId="0" fillId="0" borderId="0" xfId="0" applyNumberFormat="1"/>
    <xf numFmtId="165" fontId="1" fillId="0" borderId="1" xfId="5" applyBorder="1"/>
    <xf numFmtId="165" fontId="1" fillId="0" borderId="0" xfId="1" applyNumberFormat="1" applyAlignment="1"/>
    <xf numFmtId="165" fontId="0" fillId="0" borderId="1" xfId="0" applyNumberFormat="1" applyBorder="1"/>
    <xf numFmtId="9" fontId="0" fillId="3" borderId="0" xfId="0" applyNumberFormat="1" applyFill="1"/>
    <xf numFmtId="167" fontId="0" fillId="5" borderId="0" xfId="0" applyNumberFormat="1" applyFill="1"/>
    <xf numFmtId="1" fontId="0" fillId="3" borderId="0" xfId="0" applyNumberFormat="1" applyFill="1"/>
    <xf numFmtId="166" fontId="1" fillId="0" borderId="0" xfId="2" applyNumberFormat="1"/>
    <xf numFmtId="0" fontId="4" fillId="0" borderId="0" xfId="0" applyFont="1"/>
    <xf numFmtId="0" fontId="5" fillId="0" borderId="0" xfId="0" applyFont="1"/>
    <xf numFmtId="0" fontId="0" fillId="4" borderId="0" xfId="0" applyFill="1"/>
    <xf numFmtId="0" fontId="0" fillId="6" borderId="0" xfId="0" applyFill="1"/>
    <xf numFmtId="165" fontId="0" fillId="6" borderId="0" xfId="0" applyNumberFormat="1" applyFill="1"/>
    <xf numFmtId="165" fontId="0" fillId="4" borderId="0" xfId="0" applyNumberFormat="1" applyFill="1"/>
    <xf numFmtId="166" fontId="1" fillId="0" borderId="2" xfId="2" applyNumberFormat="1" applyBorder="1"/>
    <xf numFmtId="1" fontId="0" fillId="0" borderId="0" xfId="0" applyNumberFormat="1"/>
    <xf numFmtId="9" fontId="0" fillId="0" borderId="0" xfId="6" applyFont="1"/>
    <xf numFmtId="10" fontId="0" fillId="0" borderId="0" xfId="6" applyNumberFormat="1" applyFont="1"/>
    <xf numFmtId="166" fontId="0" fillId="0" borderId="1" xfId="2" applyNumberFormat="1" applyFont="1" applyBorder="1"/>
    <xf numFmtId="166" fontId="1" fillId="0" borderId="1" xfId="2" applyNumberFormat="1" applyBorder="1"/>
    <xf numFmtId="168" fontId="1" fillId="0" borderId="0" xfId="5" applyNumberFormat="1"/>
    <xf numFmtId="169" fontId="0" fillId="7" borderId="0" xfId="0" applyNumberFormat="1" applyFill="1"/>
    <xf numFmtId="167" fontId="0" fillId="0" borderId="0" xfId="6" applyNumberFormat="1" applyFont="1"/>
    <xf numFmtId="167" fontId="0" fillId="0" borderId="0" xfId="0" applyNumberFormat="1"/>
    <xf numFmtId="10" fontId="0" fillId="0" borderId="0" xfId="0" applyNumberFormat="1"/>
    <xf numFmtId="9" fontId="1" fillId="0" borderId="0" xfId="6"/>
    <xf numFmtId="170" fontId="0" fillId="0" borderId="0" xfId="0" applyNumberFormat="1"/>
    <xf numFmtId="171" fontId="0" fillId="0" borderId="0" xfId="0" applyNumberFormat="1"/>
    <xf numFmtId="0" fontId="6" fillId="0" borderId="0" xfId="0" applyFont="1"/>
    <xf numFmtId="169" fontId="1" fillId="7" borderId="0" xfId="7"/>
    <xf numFmtId="0" fontId="7" fillId="0" borderId="0" xfId="0" applyFont="1"/>
    <xf numFmtId="167" fontId="1" fillId="0" borderId="0" xfId="6" applyNumberFormat="1"/>
    <xf numFmtId="172" fontId="0" fillId="0" borderId="0" xfId="0" applyNumberFormat="1"/>
    <xf numFmtId="0" fontId="8" fillId="0" borderId="0" xfId="0" applyFont="1"/>
    <xf numFmtId="165" fontId="1" fillId="9" borderId="3" xfId="5" applyFill="1" applyBorder="1"/>
    <xf numFmtId="165" fontId="1" fillId="8" borderId="3" xfId="5" applyFill="1" applyBorder="1"/>
    <xf numFmtId="44" fontId="1" fillId="0" borderId="0" xfId="2"/>
    <xf numFmtId="10" fontId="0" fillId="11" borderId="8" xfId="6" applyNumberFormat="1" applyFont="1" applyFill="1" applyBorder="1"/>
    <xf numFmtId="10" fontId="0" fillId="11" borderId="9" xfId="6" applyNumberFormat="1" applyFont="1" applyFill="1" applyBorder="1"/>
    <xf numFmtId="10" fontId="0" fillId="11" borderId="10" xfId="6" applyNumberFormat="1" applyFont="1" applyFill="1" applyBorder="1"/>
    <xf numFmtId="0" fontId="0" fillId="0" borderId="11" xfId="0" applyBorder="1"/>
    <xf numFmtId="0" fontId="0" fillId="0" borderId="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7" fontId="0" fillId="4" borderId="18" xfId="6" applyNumberFormat="1" applyFont="1" applyFill="1" applyBorder="1"/>
    <xf numFmtId="167" fontId="0" fillId="4" borderId="19" xfId="6" applyNumberFormat="1" applyFont="1" applyFill="1" applyBorder="1"/>
    <xf numFmtId="167" fontId="0" fillId="4" borderId="20" xfId="6" applyNumberFormat="1" applyFont="1" applyFill="1" applyBorder="1"/>
    <xf numFmtId="2" fontId="0" fillId="0" borderId="11" xfId="0" applyNumberFormat="1" applyBorder="1"/>
    <xf numFmtId="2" fontId="0" fillId="0" borderId="1" xfId="0" applyNumberFormat="1" applyBorder="1"/>
    <xf numFmtId="2" fontId="0" fillId="0" borderId="12" xfId="0" applyNumberFormat="1" applyBorder="1"/>
    <xf numFmtId="2" fontId="0" fillId="0" borderId="13" xfId="0" applyNumberFormat="1" applyBorder="1"/>
    <xf numFmtId="2" fontId="0" fillId="0" borderId="0" xfId="0" applyNumberFormat="1"/>
    <xf numFmtId="2" fontId="0" fillId="0" borderId="14" xfId="0" applyNumberFormat="1" applyBorder="1"/>
    <xf numFmtId="2" fontId="0" fillId="0" borderId="15" xfId="0" applyNumberFormat="1" applyBorder="1"/>
    <xf numFmtId="2" fontId="0" fillId="0" borderId="16" xfId="0" applyNumberFormat="1" applyBorder="1"/>
    <xf numFmtId="2" fontId="0" fillId="0" borderId="17" xfId="0" applyNumberFormat="1" applyBorder="1"/>
    <xf numFmtId="0" fontId="0" fillId="12" borderId="6" xfId="0" applyFill="1" applyBorder="1"/>
    <xf numFmtId="0" fontId="0" fillId="12" borderId="7" xfId="0" applyFill="1" applyBorder="1"/>
    <xf numFmtId="165" fontId="0" fillId="0" borderId="0" xfId="5" applyFont="1"/>
    <xf numFmtId="0" fontId="0" fillId="0" borderId="23" xfId="0" applyBorder="1"/>
    <xf numFmtId="10" fontId="0" fillId="10" borderId="11" xfId="0" applyNumberFormat="1" applyFill="1" applyBorder="1"/>
    <xf numFmtId="10" fontId="0" fillId="10" borderId="13" xfId="0" applyNumberFormat="1" applyFill="1" applyBorder="1"/>
    <xf numFmtId="10" fontId="0" fillId="10" borderId="15" xfId="0" applyNumberFormat="1" applyFill="1" applyBorder="1"/>
    <xf numFmtId="165" fontId="1" fillId="4" borderId="19" xfId="5" applyFill="1" applyBorder="1"/>
    <xf numFmtId="165" fontId="1" fillId="4" borderId="20" xfId="5" applyFill="1" applyBorder="1"/>
    <xf numFmtId="165" fontId="1" fillId="4" borderId="18" xfId="5" applyFill="1" applyBorder="1"/>
    <xf numFmtId="43" fontId="1" fillId="0" borderId="0" xfId="5" applyNumberFormat="1"/>
    <xf numFmtId="172" fontId="0" fillId="11" borderId="9" xfId="6" applyNumberFormat="1" applyFont="1" applyFill="1" applyBorder="1"/>
    <xf numFmtId="172" fontId="0" fillId="11" borderId="10" xfId="6" applyNumberFormat="1" applyFont="1" applyFill="1" applyBorder="1"/>
    <xf numFmtId="0" fontId="0" fillId="0" borderId="0" xfId="0" applyAlignment="1">
      <alignment horizontal="right"/>
    </xf>
    <xf numFmtId="0" fontId="9" fillId="13" borderId="21" xfId="0" applyFont="1" applyFill="1" applyBorder="1" applyAlignment="1">
      <alignment horizontal="center" wrapText="1"/>
    </xf>
    <xf numFmtId="0" fontId="0" fillId="13" borderId="22" xfId="0" applyFill="1" applyBorder="1" applyAlignment="1">
      <alignment horizontal="center"/>
    </xf>
    <xf numFmtId="0" fontId="0" fillId="10" borderId="18" xfId="0" applyFill="1" applyBorder="1" applyAlignment="1">
      <alignment horizontal="center" textRotation="255"/>
    </xf>
    <xf numFmtId="0" fontId="0" fillId="10" borderId="19" xfId="0" applyFill="1" applyBorder="1" applyAlignment="1">
      <alignment horizontal="center" textRotation="255"/>
    </xf>
    <xf numFmtId="0" fontId="0" fillId="10" borderId="20" xfId="0" applyFill="1" applyBorder="1" applyAlignment="1">
      <alignment horizontal="center" textRotation="255"/>
    </xf>
    <xf numFmtId="0" fontId="0" fillId="6" borderId="11" xfId="0" applyFill="1" applyBorder="1" applyAlignment="1">
      <alignment horizontal="center"/>
    </xf>
    <xf numFmtId="0" fontId="0" fillId="6" borderId="9" xfId="0" applyFill="1" applyBorder="1" applyAlignment="1">
      <alignment horizontal="center"/>
    </xf>
    <xf numFmtId="0" fontId="0" fillId="6" borderId="10" xfId="0" applyFill="1" applyBorder="1" applyAlignment="1">
      <alignment horizontal="center"/>
    </xf>
    <xf numFmtId="0" fontId="0" fillId="5" borderId="9" xfId="0" applyFill="1" applyBorder="1" applyAlignment="1">
      <alignment horizontal="center"/>
    </xf>
    <xf numFmtId="0" fontId="0" fillId="5" borderId="10" xfId="0" applyFill="1" applyBorder="1" applyAlignment="1">
      <alignment horizontal="center"/>
    </xf>
    <xf numFmtId="165" fontId="1" fillId="4" borderId="4" xfId="5" applyFill="1" applyBorder="1" applyAlignment="1">
      <alignment horizontal="center"/>
    </xf>
    <xf numFmtId="165" fontId="1" fillId="4" borderId="5" xfId="5" applyFill="1" applyBorder="1" applyAlignment="1">
      <alignment horizontal="center"/>
    </xf>
    <xf numFmtId="0" fontId="0" fillId="6" borderId="8" xfId="0" applyFill="1" applyBorder="1" applyAlignment="1">
      <alignment horizontal="center"/>
    </xf>
    <xf numFmtId="0" fontId="0" fillId="5" borderId="8" xfId="0" applyFill="1" applyBorder="1" applyAlignment="1">
      <alignment horizontal="center"/>
    </xf>
  </cellXfs>
  <cellStyles count="8">
    <cellStyle name="Comma" xfId="1" builtinId="3"/>
    <cellStyle name="Currency" xfId="2" builtinId="4"/>
    <cellStyle name="date.forecast" xfId="7" xr:uid="{8278F736-55FA-445B-AF65-C3A531D52A30}"/>
    <cellStyle name="Date.Hint" xfId="4" xr:uid="{E276708F-B5CD-49D0-B8C3-C89383452B8D}"/>
    <cellStyle name="Normal" xfId="0" builtinId="0"/>
    <cellStyle name="Normal.Number" xfId="5" xr:uid="{006AA8AD-DD3F-4DF3-8F73-F126716C9B8E}"/>
    <cellStyle name="Percent" xfId="6" builtinId="5"/>
    <cellStyle name="Title" xfId="3" builtinId="1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SupportingPropertyBagStructure" Target="richData/rdsupportingpropertybagstructur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ichStyles" Target="richData/rich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microsoft.com/office/2017/06/relationships/rdRichValue" Target="richData/rdrichvalue.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Football Field</a:t>
            </a:r>
          </a:p>
        </c:rich>
      </c:tx>
      <c:overlay val="0"/>
      <c:spPr>
        <a:noFill/>
        <a:ln>
          <a:solidFill>
            <a:schemeClr val="tx1">
              <a:alpha val="88000"/>
            </a:schemeClr>
          </a:solid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DCF!$H$103</c:f>
              <c:strCache>
                <c:ptCount val="1"/>
                <c:pt idx="0">
                  <c:v> Low </c:v>
                </c:pt>
              </c:strCache>
            </c:strRef>
          </c:tx>
          <c:spPr>
            <a:noFill/>
            <a:ln>
              <a:noFill/>
            </a:ln>
            <a:effectLst/>
          </c:spPr>
          <c:invertIfNegative val="0"/>
          <c:cat>
            <c:strRef>
              <c:f>DCF!$G$104:$G$106</c:f>
              <c:strCache>
                <c:ptCount val="3"/>
                <c:pt idx="0">
                  <c:v>DCF Value- Multiplier 8x-12x</c:v>
                </c:pt>
                <c:pt idx="1">
                  <c:v>DCF Value- Growth Rate 2%-3%</c:v>
                </c:pt>
                <c:pt idx="2">
                  <c:v>52 Week Market high/low</c:v>
                </c:pt>
              </c:strCache>
            </c:strRef>
          </c:cat>
          <c:val>
            <c:numRef>
              <c:f>DCF!$H$104:$H$106</c:f>
              <c:numCache>
                <c:formatCode>_(* #,##0.00_);_(* \(#,##0.00\);_(* "-"??_);_(@_)</c:formatCode>
                <c:ptCount val="3"/>
                <c:pt idx="0">
                  <c:v>11.002153253417033</c:v>
                </c:pt>
                <c:pt idx="1">
                  <c:v>6.9963019736505387</c:v>
                </c:pt>
                <c:pt idx="2">
                  <c:v>11.11</c:v>
                </c:pt>
              </c:numCache>
            </c:numRef>
          </c:val>
          <c:extLst>
            <c:ext xmlns:c16="http://schemas.microsoft.com/office/drawing/2014/chart" uri="{C3380CC4-5D6E-409C-BE32-E72D297353CC}">
              <c16:uniqueId val="{00000000-2AF5-49FC-82AF-63669661A034}"/>
            </c:ext>
          </c:extLst>
        </c:ser>
        <c:ser>
          <c:idx val="1"/>
          <c:order val="1"/>
          <c:tx>
            <c:strRef>
              <c:f>DCF!$I$103</c:f>
              <c:strCache>
                <c:ptCount val="1"/>
                <c:pt idx="0">
                  <c:v> Difference </c:v>
                </c:pt>
              </c:strCache>
            </c:strRef>
          </c:tx>
          <c:spPr>
            <a:solidFill>
              <a:schemeClr val="accent2"/>
            </a:solidFill>
            <a:ln>
              <a:noFill/>
            </a:ln>
            <a:effectLst/>
          </c:spPr>
          <c:invertIfNegative val="0"/>
          <c:cat>
            <c:strRef>
              <c:f>DCF!$G$104:$G$106</c:f>
              <c:strCache>
                <c:ptCount val="3"/>
                <c:pt idx="0">
                  <c:v>DCF Value- Multiplier 8x-12x</c:v>
                </c:pt>
                <c:pt idx="1">
                  <c:v>DCF Value- Growth Rate 2%-3%</c:v>
                </c:pt>
                <c:pt idx="2">
                  <c:v>52 Week Market high/low</c:v>
                </c:pt>
              </c:strCache>
            </c:strRef>
          </c:cat>
          <c:val>
            <c:numRef>
              <c:f>DCF!$I$104:$I$106</c:f>
              <c:numCache>
                <c:formatCode>_(* #,##0.00_);_(* \(#,##0.00\);_(* "-"??_);_(@_)</c:formatCode>
                <c:ptCount val="3"/>
                <c:pt idx="0">
                  <c:v>8.9763556828941677</c:v>
                </c:pt>
                <c:pt idx="1">
                  <c:v>11.766027432030501</c:v>
                </c:pt>
                <c:pt idx="2" formatCode="_(* #,##0_);_(* \(#,##0\);_(* &quot;-&quot;??_);_(@_)">
                  <c:v>6.6700000000000017</c:v>
                </c:pt>
              </c:numCache>
            </c:numRef>
          </c:val>
          <c:extLst>
            <c:ext xmlns:c16="http://schemas.microsoft.com/office/drawing/2014/chart" uri="{C3380CC4-5D6E-409C-BE32-E72D297353CC}">
              <c16:uniqueId val="{00000001-2AF5-49FC-82AF-63669661A034}"/>
            </c:ext>
          </c:extLst>
        </c:ser>
        <c:ser>
          <c:idx val="2"/>
          <c:order val="2"/>
          <c:tx>
            <c:strRef>
              <c:f>DCF!$J$103</c:f>
              <c:strCache>
                <c:ptCount val="1"/>
                <c:pt idx="0">
                  <c:v> High </c:v>
                </c:pt>
              </c:strCache>
            </c:strRef>
          </c:tx>
          <c:spPr>
            <a:noFill/>
            <a:ln>
              <a:noFill/>
            </a:ln>
            <a:effectLst/>
          </c:spPr>
          <c:invertIfNegative val="0"/>
          <c:cat>
            <c:strRef>
              <c:f>DCF!$G$104:$G$106</c:f>
              <c:strCache>
                <c:ptCount val="3"/>
                <c:pt idx="0">
                  <c:v>DCF Value- Multiplier 8x-12x</c:v>
                </c:pt>
                <c:pt idx="1">
                  <c:v>DCF Value- Growth Rate 2%-3%</c:v>
                </c:pt>
                <c:pt idx="2">
                  <c:v>52 Week Market high/low</c:v>
                </c:pt>
              </c:strCache>
            </c:strRef>
          </c:cat>
          <c:val>
            <c:numRef>
              <c:f>DCF!$J$104:$J$106</c:f>
              <c:numCache>
                <c:formatCode>_(* #,##0.00_);_(* \(#,##0.00\);_(* "-"??_);_(@_)</c:formatCode>
                <c:ptCount val="3"/>
                <c:pt idx="0">
                  <c:v>19.978508936311201</c:v>
                </c:pt>
                <c:pt idx="1">
                  <c:v>18.76232940568104</c:v>
                </c:pt>
                <c:pt idx="2">
                  <c:v>17.78</c:v>
                </c:pt>
              </c:numCache>
            </c:numRef>
          </c:val>
          <c:extLst>
            <c:ext xmlns:c16="http://schemas.microsoft.com/office/drawing/2014/chart" uri="{C3380CC4-5D6E-409C-BE32-E72D297353CC}">
              <c16:uniqueId val="{00000002-2AF5-49FC-82AF-63669661A034}"/>
            </c:ext>
          </c:extLst>
        </c:ser>
        <c:dLbls>
          <c:showLegendKey val="0"/>
          <c:showVal val="0"/>
          <c:showCatName val="0"/>
          <c:showSerName val="0"/>
          <c:showPercent val="0"/>
          <c:showBubbleSize val="0"/>
        </c:dLbls>
        <c:gapWidth val="150"/>
        <c:overlap val="100"/>
        <c:axId val="164171280"/>
        <c:axId val="164166480"/>
      </c:barChart>
      <c:lineChart>
        <c:grouping val="standard"/>
        <c:varyColors val="0"/>
        <c:ser>
          <c:idx val="3"/>
          <c:order val="3"/>
          <c:tx>
            <c:strRef>
              <c:f>DCF!$K$103</c:f>
              <c:strCache>
                <c:ptCount val="1"/>
                <c:pt idx="0">
                  <c:v>GFHIV Valuation</c:v>
                </c:pt>
              </c:strCache>
            </c:strRef>
          </c:tx>
          <c:spPr>
            <a:ln w="28575" cap="rnd">
              <a:solidFill>
                <a:schemeClr val="tx1"/>
              </a:solidFill>
              <a:prstDash val="sysDash"/>
              <a:round/>
            </a:ln>
            <a:effectLst/>
          </c:spPr>
          <c:marker>
            <c:symbol val="none"/>
          </c:marker>
          <c:cat>
            <c:strRef>
              <c:f>DCF!$G$104:$G$106</c:f>
              <c:strCache>
                <c:ptCount val="3"/>
                <c:pt idx="0">
                  <c:v>DCF Value- Multiplier 8x-12x</c:v>
                </c:pt>
                <c:pt idx="1">
                  <c:v>DCF Value- Growth Rate 2%-3%</c:v>
                </c:pt>
                <c:pt idx="2">
                  <c:v>52 Week Market high/low</c:v>
                </c:pt>
              </c:strCache>
            </c:strRef>
          </c:cat>
          <c:val>
            <c:numRef>
              <c:f>DCF!$K$104:$K$106</c:f>
              <c:numCache>
                <c:formatCode>_(* #,##0.00_);_(* \(#,##0.00\);_(* "-"??_);_(@_)</c:formatCode>
                <c:ptCount val="3"/>
                <c:pt idx="0">
                  <c:v>14.20489152081457</c:v>
                </c:pt>
                <c:pt idx="1">
                  <c:v>14.20489152081457</c:v>
                </c:pt>
                <c:pt idx="2">
                  <c:v>14.20489152081457</c:v>
                </c:pt>
              </c:numCache>
            </c:numRef>
          </c:val>
          <c:smooth val="0"/>
          <c:extLst>
            <c:ext xmlns:c16="http://schemas.microsoft.com/office/drawing/2014/chart" uri="{C3380CC4-5D6E-409C-BE32-E72D297353CC}">
              <c16:uniqueId val="{00000003-2AF5-49FC-82AF-63669661A034}"/>
            </c:ext>
          </c:extLst>
        </c:ser>
        <c:dLbls>
          <c:showLegendKey val="0"/>
          <c:showVal val="0"/>
          <c:showCatName val="0"/>
          <c:showSerName val="0"/>
          <c:showPercent val="0"/>
          <c:showBubbleSize val="0"/>
        </c:dLbls>
        <c:marker val="1"/>
        <c:smooth val="0"/>
        <c:axId val="164171280"/>
        <c:axId val="164166480"/>
      </c:lineChart>
      <c:catAx>
        <c:axId val="16417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64166480"/>
        <c:crosses val="autoZero"/>
        <c:auto val="1"/>
        <c:lblAlgn val="ctr"/>
        <c:lblOffset val="100"/>
        <c:noMultiLvlLbl val="0"/>
      </c:catAx>
      <c:valAx>
        <c:axId val="164166480"/>
        <c:scaling>
          <c:orientation val="minMax"/>
          <c:max val="25"/>
          <c:min val="5"/>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4171280"/>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1</xdr:colOff>
      <xdr:row>69</xdr:row>
      <xdr:rowOff>0</xdr:rowOff>
    </xdr:from>
    <xdr:to>
      <xdr:col>20</xdr:col>
      <xdr:colOff>1</xdr:colOff>
      <xdr:row>95</xdr:row>
      <xdr:rowOff>0</xdr:rowOff>
    </xdr:to>
    <xdr:graphicFrame macro="">
      <xdr:nvGraphicFramePr>
        <xdr:cNvPr id="4" name="Chart 3">
          <a:extLst>
            <a:ext uri="{FF2B5EF4-FFF2-40B4-BE49-F238E27FC236}">
              <a16:creationId xmlns:a16="http://schemas.microsoft.com/office/drawing/2014/main" id="{0AC8EA92-F83E-7640-BE51-CC6F29605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7">
  <rv s="0">
    <v>http://en.wikipedia.org/wiki/Public_domain</v>
    <v>Public domain</v>
  </rv>
  <rv s="0">
    <v>http://en.wikipedia.org/wiki/Ford_Motor_Company</v>
    <v>Wikipedia</v>
  </rv>
  <rv s="1">
    <v>0</v>
    <v>1</v>
  </rv>
  <rv s="2">
    <v>6</v>
    <v>https://www.bing.com/th?id=AMMS_cf0311a5f2d2dcb3110aca1404330618&amp;qlt=95</v>
    <v>2</v>
    <v>0</v>
    <v>https://www.bing.com/images/search?form=xlimg&amp;q=ford+motor+company</v>
    <v>Image of FORD MOTOR COMPANY</v>
  </rv>
  <rv s="0">
    <v>https://www.bing.com/financeapi/forcetrigger?t=a1sjw7&amp;q=XNYS%3aF&amp;form=skydnc</v>
    <v>Learn more on Bing</v>
  </rv>
  <rv s="3">
    <v>en-US</v>
    <v>a1sjw7</v>
    <v>268435456</v>
    <v>1</v>
    <v>Powered by Refinitiv</v>
    <v>0</v>
    <v>FORD MOTOR COMPANY (XNYS:F)</v>
    <v>3</v>
    <v>4</v>
    <v>Finance</v>
    <v>5</v>
    <v>17.78</v>
    <v>11.11</v>
    <v>1.883</v>
    <v>0.12</v>
    <v>7.8839999999999997E-4</v>
    <v>9.7479999999999997E-3</v>
    <v>9.7999999999999997E-3</v>
    <v>USD</v>
    <v>Ford Motor Company develops and delivers Ford trucks, sport utility vehicles, commercial vans and cars, and Lincoln luxury vehicles, along with connected services, including BlueCruise (ADAS) and security. The Company's segments include Ford Blue, Ford Model e, Ford Pro, and Ford Credit. The Ford Blue segment primarily includes the sale of Ford and Lincoln internal combustion engine (ICE) and hybrid vehicles, service parts, accessories, and digital services for retail customers. The Ford Model e segment primarily includes the sale of its electric vehicles, service parts, accessories, and digital services for retail customers. The Ford Pro segment primarily includes the sale of Ford and Lincoln vehicles, service parts, accessories, and services for commercial, government, and rental customers. The Ford Credit segment consists of the Ford Credit business on a consolidated basis, which is primarily vehicle-related financing and leasing activities. Its vehicle brands are Ford and Lincoln.</v>
    <v>169000</v>
    <v>New York Stock Exchange</v>
    <v>XNYS</v>
    <v>XNYS</v>
    <v>One American Road, DEARBORN, MI, 48126-2701 US</v>
    <v>12.78</v>
    <v>3</v>
    <v>Automobiles &amp; Auto Parts</v>
    <v>Stock</v>
    <v>46311.999423772657</v>
    <v>4</v>
    <v>12.4</v>
    <v>49565818280</v>
    <v>FORD MOTOR COMPANY</v>
    <v>FORD MOTOR COMPANY</v>
    <v>12.553000000000001</v>
    <v>12.31</v>
    <v>12.43</v>
    <v>12.4398</v>
    <v>3987596000</v>
    <v>F</v>
    <v>FORD MOTOR COMPANY (XNYS:F)</v>
    <v>49555320</v>
    <v>44129144</v>
    <v>1919</v>
  </rv>
  <rv s="4">
    <v>5</v>
  </rv>
</rvData>
</file>

<file path=xl/richData/rdrichvaluestructure.xml><?xml version="1.0" encoding="utf-8"?>
<rvStructures xmlns="http://schemas.microsoft.com/office/spreadsheetml/2017/richdata" count="5">
  <s t="_hyperlink">
    <k n="Address" t="s"/>
    <k n="Text" t="s"/>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Image</v>
      <v t="s">ExchangeID</v>
      <v t="s">%ProviderInfo</v>
    </a>
  </spbArrays>
  <spbData count="7">
    <spb s="0">
      <v>0</v>
      <v>Name</v>
      <v>LearnMoreOnLink</v>
    </spb>
    <spb s="1">
      <v>0</v>
      <v>0</v>
    </spb>
    <spb s="2">
      <v>0</v>
      <v>0</v>
      <v>0</v>
    </spb>
    <spb s="3">
      <v>1</v>
      <v>2</v>
      <v>2</v>
      <v>2</v>
      <v>2</v>
    </spb>
    <spb s="4">
      <v>1</v>
      <v>2</v>
      <v>1</v>
      <v>3</v>
      <v>1</v>
      <v>4</v>
      <v>1</v>
      <v>1</v>
      <v>5</v>
      <v>5</v>
      <v>6</v>
      <v>7</v>
      <v>1</v>
      <v>1</v>
      <v>1</v>
      <v>5</v>
      <v>8</v>
      <v>9</v>
      <v>10</v>
      <v>5</v>
      <v>1</v>
      <v>1</v>
      <v>6</v>
    </spb>
    <spb s="5">
      <v>at close</v>
      <v>from previous close</v>
      <v>from previous close</v>
      <v>Source: Nasdaq</v>
      <v>GMT</v>
      <v>Delayed 15 minutes</v>
      <v>from close</v>
      <v>from close</v>
    </spb>
    <spb s="6">
      <v>Powered by Refinitiv</v>
    </spb>
  </spbData>
</supportingPropertyBags>
</file>

<file path=xl/richData/rdsupportingpropertybagstructure.xml><?xml version="1.0" encoding="utf-8"?>
<spbStructures xmlns="http://schemas.microsoft.com/office/spreadsheetml/2017/richdata2" count="7">
  <s>
    <k n="^Order" t="spba"/>
    <k n="TitleProperty" t="s"/>
    <k n="SubTitleProperty" t="s"/>
  </s>
  <s>
    <k n="ShowInDotNotation" t="b"/>
    <k n="ShowInAutoComplete" t="b"/>
  </s>
  <s>
    <k n="ShowInCardView" t="b"/>
    <k n="ShowInDotNotation" t="b"/>
    <k n="ShowInAutoComplete" t="b"/>
  </s>
  <s>
    <k n="Image" t="spb"/>
    <k n="ExchangeID" t="spb"/>
    <k n="UniqueName" t="spb"/>
    <k n="`%ProviderInfo" t="spb"/>
    <k n="LearnMoreOnLink" t="spb"/>
  </s>
  <s>
    <k n="Low"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rpv i="2">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FE42-D675-4AD2-BADA-292FA9D705D6}">
  <sheetPr>
    <tabColor theme="1"/>
  </sheetPr>
  <dimension ref="A1:R48"/>
  <sheetViews>
    <sheetView topLeftCell="A21" zoomScale="110" zoomScaleNormal="110" workbookViewId="0">
      <selection activeCell="J29" sqref="J29"/>
    </sheetView>
  </sheetViews>
  <sheetFormatPr defaultRowHeight="14.25"/>
  <cols>
    <col min="1" max="5" width="1.28515625" customWidth="1"/>
    <col min="6" max="6" width="33.7109375" customWidth="1"/>
    <col min="7" max="7" width="9" customWidth="1"/>
  </cols>
  <sheetData>
    <row r="1" spans="1:14" ht="23.25">
      <c r="A1" s="1" t="s">
        <v>0</v>
      </c>
    </row>
    <row r="2" spans="1:14">
      <c r="B2" t="s">
        <v>1</v>
      </c>
      <c r="G2" t="s">
        <v>2</v>
      </c>
    </row>
    <row r="3" spans="1:14">
      <c r="B3" t="s">
        <v>3</v>
      </c>
      <c r="G3">
        <v>2025</v>
      </c>
    </row>
    <row r="4" spans="1:14">
      <c r="B4" t="s">
        <v>4</v>
      </c>
      <c r="G4" s="2" cm="1">
        <f t="array" ref="G4:I4">_xlfn.SEQUENCE(1,3,start.year)</f>
        <v>2025</v>
      </c>
      <c r="H4" s="2">
        <v>2026</v>
      </c>
      <c r="I4" s="2">
        <v>2027</v>
      </c>
      <c r="J4" s="36" cm="1">
        <f t="array" ref="J4:N4">_xlfn.SEQUENCE(1,5,I4+1)</f>
        <v>2028</v>
      </c>
      <c r="K4" s="36">
        <v>2029</v>
      </c>
      <c r="L4" s="36">
        <v>2030</v>
      </c>
      <c r="M4" s="36">
        <v>2031</v>
      </c>
      <c r="N4" s="36">
        <v>2032</v>
      </c>
    </row>
    <row r="5" spans="1:14">
      <c r="C5" t="s">
        <v>5</v>
      </c>
    </row>
    <row r="6" spans="1:14">
      <c r="D6" t="s">
        <v>6</v>
      </c>
      <c r="G6" s="3">
        <v>7900</v>
      </c>
      <c r="H6" s="3">
        <v>8089</v>
      </c>
      <c r="I6" s="3">
        <v>8232</v>
      </c>
      <c r="J6" s="15">
        <f>I6*(1+J10)</f>
        <v>8403.2353928995617</v>
      </c>
      <c r="K6" s="15">
        <f t="shared" ref="K6:N6" si="0">J6*(1+K10)</f>
        <v>8564.9116175533109</v>
      </c>
      <c r="L6" s="15">
        <f t="shared" si="0"/>
        <v>8736.3852109782165</v>
      </c>
      <c r="M6" s="15">
        <f t="shared" si="0"/>
        <v>8907.8814724804233</v>
      </c>
      <c r="N6" s="15">
        <f t="shared" si="0"/>
        <v>9084.4828553533353</v>
      </c>
    </row>
    <row r="7" spans="1:14">
      <c r="D7" t="s">
        <v>7</v>
      </c>
      <c r="G7" s="3">
        <v>8179</v>
      </c>
      <c r="H7" s="3">
        <v>8105</v>
      </c>
      <c r="I7" s="3">
        <v>8375</v>
      </c>
      <c r="J7" s="15">
        <f>I7*(1+J11)</f>
        <v>8476.6105629748436</v>
      </c>
      <c r="K7" s="15">
        <f t="shared" ref="K7:N7" si="1">J7*(1+K11)</f>
        <v>8669.2219334382971</v>
      </c>
      <c r="L7" s="15">
        <f t="shared" si="1"/>
        <v>8820.3060633018285</v>
      </c>
      <c r="M7" s="15">
        <f t="shared" si="1"/>
        <v>8997.3751764971003</v>
      </c>
      <c r="N7" s="15">
        <f t="shared" si="1"/>
        <v>9166.0886132514552</v>
      </c>
    </row>
    <row r="8" spans="1:14">
      <c r="D8" t="s">
        <v>8</v>
      </c>
      <c r="G8" s="3">
        <v>8173</v>
      </c>
      <c r="H8" s="3">
        <v>8174</v>
      </c>
      <c r="I8" s="3">
        <v>8371</v>
      </c>
      <c r="J8" s="15">
        <f>I8*(1+J12)</f>
        <v>8472.3860425878447</v>
      </c>
      <c r="K8" s="15">
        <f t="shared" ref="K8:N8" si="2">J8*(1+K12)</f>
        <v>8625.7887087807467</v>
      </c>
      <c r="L8" s="15">
        <f t="shared" si="2"/>
        <v>8756.1147794083008</v>
      </c>
      <c r="M8" s="15">
        <f t="shared" si="2"/>
        <v>8901.5323125744926</v>
      </c>
      <c r="N8" s="15">
        <f t="shared" si="2"/>
        <v>9042.6947178117043</v>
      </c>
    </row>
    <row r="9" spans="1:14">
      <c r="C9" t="s">
        <v>9</v>
      </c>
      <c r="G9" s="3"/>
      <c r="H9" s="3"/>
      <c r="I9" s="3"/>
    </row>
    <row r="10" spans="1:14">
      <c r="D10" t="str" cm="1">
        <f t="array" ref="D10:D12">+D6:D8</f>
        <v>Basketballs</v>
      </c>
      <c r="G10" s="3"/>
      <c r="H10" s="37">
        <f>+H6/G6-1</f>
        <v>2.3924050632911475E-2</v>
      </c>
      <c r="I10" s="37">
        <f>+I6/H6-1</f>
        <v>1.7678328594387338E-2</v>
      </c>
      <c r="J10" s="38">
        <f>AVERAGE(H10:I10)</f>
        <v>2.0801189613649407E-2</v>
      </c>
      <c r="K10" s="38">
        <f t="shared" ref="K10:N12" si="3">AVERAGE(I10:J10)</f>
        <v>1.9239759104018372E-2</v>
      </c>
      <c r="L10" s="38">
        <f t="shared" si="3"/>
        <v>2.002047435883389E-2</v>
      </c>
      <c r="M10" s="38">
        <f t="shared" si="3"/>
        <v>1.9630116731426131E-2</v>
      </c>
      <c r="N10" s="38">
        <f>AVERAGE(L10:M10)</f>
        <v>1.982529554513001E-2</v>
      </c>
    </row>
    <row r="11" spans="1:14">
      <c r="D11" t="str">
        <v>Shoes</v>
      </c>
      <c r="G11" s="3"/>
      <c r="H11" s="37">
        <f t="shared" ref="H11:I12" si="4">+H7/G7-1</f>
        <v>-9.0475608265069285E-3</v>
      </c>
      <c r="I11" s="37">
        <f t="shared" si="4"/>
        <v>3.3312769895126548E-2</v>
      </c>
      <c r="J11" s="38">
        <f t="shared" ref="J11:J12" si="5">AVERAGE(H11:I11)</f>
        <v>1.213260453430981E-2</v>
      </c>
      <c r="K11" s="38">
        <f>AVERAGE(I11:J11)</f>
        <v>2.2722687214718179E-2</v>
      </c>
      <c r="L11" s="38">
        <f t="shared" si="3"/>
        <v>1.7427645874513994E-2</v>
      </c>
      <c r="M11" s="38">
        <f t="shared" si="3"/>
        <v>2.0075166544616087E-2</v>
      </c>
      <c r="N11" s="38">
        <f t="shared" si="3"/>
        <v>1.8751406209565041E-2</v>
      </c>
    </row>
    <row r="12" spans="1:14">
      <c r="D12" t="str">
        <v>Apparel</v>
      </c>
      <c r="G12" s="3"/>
      <c r="H12" s="37">
        <f t="shared" si="4"/>
        <v>1.2235409274441444E-4</v>
      </c>
      <c r="I12" s="37">
        <f t="shared" si="4"/>
        <v>2.4100807438218741E-2</v>
      </c>
      <c r="J12" s="38">
        <f t="shared" si="5"/>
        <v>1.2111580765481578E-2</v>
      </c>
      <c r="K12" s="38">
        <f t="shared" si="3"/>
        <v>1.8106194101850159E-2</v>
      </c>
      <c r="L12" s="38">
        <f t="shared" si="3"/>
        <v>1.5108887433665869E-2</v>
      </c>
      <c r="M12" s="38">
        <f t="shared" si="3"/>
        <v>1.6607540767758014E-2</v>
      </c>
      <c r="N12" s="38">
        <f t="shared" si="3"/>
        <v>1.5858214100711941E-2</v>
      </c>
    </row>
    <row r="13" spans="1:14">
      <c r="C13" t="s">
        <v>10</v>
      </c>
    </row>
    <row r="14" spans="1:14">
      <c r="D14" t="str" cm="1">
        <f t="array" ref="D14:D16">+D6:D8</f>
        <v>Basketballs</v>
      </c>
      <c r="G14" s="19">
        <v>0.48000000000000004</v>
      </c>
      <c r="H14" s="19">
        <v>0.47000000000000003</v>
      </c>
      <c r="I14" s="19">
        <v>0.49000000000000005</v>
      </c>
      <c r="J14" s="4">
        <f>AVERAGE(G14:I14)</f>
        <v>0.48000000000000004</v>
      </c>
      <c r="K14" s="4">
        <f t="shared" ref="K14:N16" si="6">AVERAGE(H14:J14)</f>
        <v>0.48000000000000004</v>
      </c>
      <c r="L14" s="4">
        <f t="shared" si="6"/>
        <v>0.48333333333333339</v>
      </c>
      <c r="M14" s="4">
        <f t="shared" si="6"/>
        <v>0.4811111111111111</v>
      </c>
      <c r="N14" s="4">
        <f t="shared" si="6"/>
        <v>0.48148148148148145</v>
      </c>
    </row>
    <row r="15" spans="1:14">
      <c r="D15" t="str">
        <v>Shoes</v>
      </c>
      <c r="G15" s="19">
        <v>0.47000000000000003</v>
      </c>
      <c r="H15" s="19">
        <v>0.45</v>
      </c>
      <c r="I15" s="19">
        <v>0.48000000000000004</v>
      </c>
      <c r="J15" s="4">
        <f t="shared" ref="J15:J16" si="7">AVERAGE(G15:I15)</f>
        <v>0.46666666666666673</v>
      </c>
      <c r="K15" s="4">
        <f t="shared" si="6"/>
        <v>0.46555555555555556</v>
      </c>
      <c r="L15" s="4">
        <f t="shared" si="6"/>
        <v>0.47074074074074074</v>
      </c>
      <c r="M15" s="4">
        <f t="shared" si="6"/>
        <v>0.4676543209876543</v>
      </c>
      <c r="N15" s="4">
        <f t="shared" si="6"/>
        <v>0.46798353909465024</v>
      </c>
    </row>
    <row r="16" spans="1:14">
      <c r="D16" t="str">
        <v>Apparel</v>
      </c>
      <c r="G16" s="19">
        <v>0.5</v>
      </c>
      <c r="H16" s="19">
        <v>0.5</v>
      </c>
      <c r="I16" s="19">
        <v>0.49000000000000005</v>
      </c>
      <c r="J16" s="4">
        <f t="shared" si="7"/>
        <v>0.49666666666666665</v>
      </c>
      <c r="K16" s="4">
        <f t="shared" si="6"/>
        <v>0.49555555555555553</v>
      </c>
      <c r="L16" s="4">
        <f t="shared" si="6"/>
        <v>0.49407407407407405</v>
      </c>
      <c r="M16" s="4">
        <f t="shared" si="6"/>
        <v>0.49543209876543209</v>
      </c>
      <c r="N16" s="4">
        <f t="shared" si="6"/>
        <v>0.49502057613168726</v>
      </c>
    </row>
    <row r="19" spans="3:18">
      <c r="C19" t="s">
        <v>11</v>
      </c>
    </row>
    <row r="20" spans="3:18">
      <c r="D20" t="s">
        <v>12</v>
      </c>
      <c r="G20" s="20">
        <v>0.03</v>
      </c>
      <c r="H20" s="20">
        <f t="shared" ref="H20:I27" si="8">+G20</f>
        <v>0.03</v>
      </c>
      <c r="I20" s="20">
        <f t="shared" si="8"/>
        <v>0.03</v>
      </c>
      <c r="J20" s="38">
        <f>+I20</f>
        <v>0.03</v>
      </c>
      <c r="K20" s="38">
        <f t="shared" ref="K20:N20" si="9">+J20</f>
        <v>0.03</v>
      </c>
      <c r="L20" s="38">
        <f t="shared" si="9"/>
        <v>0.03</v>
      </c>
      <c r="M20" s="38">
        <f t="shared" si="9"/>
        <v>0.03</v>
      </c>
      <c r="N20" s="38">
        <f t="shared" si="9"/>
        <v>0.03</v>
      </c>
    </row>
    <row r="21" spans="3:18">
      <c r="D21" t="s">
        <v>13</v>
      </c>
      <c r="G21" s="20">
        <v>2.5000000000000001E-2</v>
      </c>
      <c r="H21" s="20">
        <f t="shared" si="8"/>
        <v>2.5000000000000001E-2</v>
      </c>
      <c r="I21" s="20">
        <f t="shared" si="8"/>
        <v>2.5000000000000001E-2</v>
      </c>
      <c r="J21" s="38">
        <f t="shared" ref="J21:N27" si="10">+I21</f>
        <v>2.5000000000000001E-2</v>
      </c>
      <c r="K21" s="38">
        <f t="shared" si="10"/>
        <v>2.5000000000000001E-2</v>
      </c>
      <c r="L21" s="38">
        <f t="shared" si="10"/>
        <v>2.5000000000000001E-2</v>
      </c>
      <c r="M21" s="38">
        <f t="shared" si="10"/>
        <v>2.5000000000000001E-2</v>
      </c>
      <c r="N21" s="38">
        <f t="shared" si="10"/>
        <v>2.5000000000000001E-2</v>
      </c>
    </row>
    <row r="22" spans="3:18">
      <c r="D22" t="s">
        <v>14</v>
      </c>
      <c r="G22" s="20">
        <v>2.8000000000000001E-2</v>
      </c>
      <c r="H22" s="20">
        <f t="shared" si="8"/>
        <v>2.8000000000000001E-2</v>
      </c>
      <c r="I22" s="20">
        <f t="shared" si="8"/>
        <v>2.8000000000000001E-2</v>
      </c>
      <c r="J22" s="38">
        <f t="shared" si="10"/>
        <v>2.8000000000000001E-2</v>
      </c>
      <c r="K22" s="38">
        <f t="shared" si="10"/>
        <v>2.8000000000000001E-2</v>
      </c>
      <c r="L22" s="38">
        <f t="shared" si="10"/>
        <v>2.8000000000000001E-2</v>
      </c>
      <c r="M22" s="38">
        <f t="shared" si="10"/>
        <v>2.8000000000000001E-2</v>
      </c>
      <c r="N22" s="38">
        <f t="shared" si="10"/>
        <v>2.8000000000000001E-2</v>
      </c>
    </row>
    <row r="23" spans="3:18">
      <c r="D23" t="s">
        <v>15</v>
      </c>
      <c r="G23" s="20">
        <v>3.1E-2</v>
      </c>
      <c r="H23" s="20">
        <f t="shared" si="8"/>
        <v>3.1E-2</v>
      </c>
      <c r="I23" s="20">
        <f t="shared" si="8"/>
        <v>3.1E-2</v>
      </c>
      <c r="J23" s="38">
        <f t="shared" si="10"/>
        <v>3.1E-2</v>
      </c>
      <c r="K23" s="38">
        <f t="shared" si="10"/>
        <v>3.1E-2</v>
      </c>
      <c r="L23" s="38">
        <f t="shared" si="10"/>
        <v>3.1E-2</v>
      </c>
      <c r="M23" s="38">
        <f t="shared" si="10"/>
        <v>3.1E-2</v>
      </c>
      <c r="N23" s="38">
        <f t="shared" si="10"/>
        <v>3.1E-2</v>
      </c>
    </row>
    <row r="24" spans="3:18">
      <c r="D24" t="s">
        <v>16</v>
      </c>
      <c r="G24" s="20">
        <v>0.105</v>
      </c>
      <c r="H24" s="20">
        <f t="shared" si="8"/>
        <v>0.105</v>
      </c>
      <c r="I24" s="20">
        <f t="shared" si="8"/>
        <v>0.105</v>
      </c>
      <c r="J24" s="38">
        <f t="shared" si="10"/>
        <v>0.105</v>
      </c>
      <c r="K24" s="38">
        <f t="shared" si="10"/>
        <v>0.105</v>
      </c>
      <c r="L24" s="38">
        <f t="shared" si="10"/>
        <v>0.105</v>
      </c>
      <c r="M24" s="38">
        <f t="shared" si="10"/>
        <v>0.105</v>
      </c>
      <c r="N24" s="38">
        <f t="shared" si="10"/>
        <v>0.105</v>
      </c>
    </row>
    <row r="25" spans="3:18">
      <c r="D25" t="s">
        <v>17</v>
      </c>
      <c r="G25" s="5">
        <v>2500</v>
      </c>
      <c r="H25" s="5">
        <f t="shared" si="8"/>
        <v>2500</v>
      </c>
      <c r="I25" s="5">
        <f t="shared" si="8"/>
        <v>2500</v>
      </c>
      <c r="J25" s="6">
        <f t="shared" si="10"/>
        <v>2500</v>
      </c>
      <c r="K25" s="6">
        <f t="shared" si="10"/>
        <v>2500</v>
      </c>
      <c r="L25" s="6">
        <f t="shared" si="10"/>
        <v>2500</v>
      </c>
      <c r="M25" s="6">
        <f t="shared" si="10"/>
        <v>2500</v>
      </c>
      <c r="N25" s="6">
        <f t="shared" si="10"/>
        <v>2500</v>
      </c>
    </row>
    <row r="26" spans="3:18">
      <c r="D26" t="s">
        <v>18</v>
      </c>
      <c r="G26" s="21">
        <v>250</v>
      </c>
      <c r="H26" s="21">
        <f t="shared" si="8"/>
        <v>250</v>
      </c>
      <c r="I26" s="21">
        <f t="shared" si="8"/>
        <v>250</v>
      </c>
      <c r="J26" s="6">
        <f t="shared" si="10"/>
        <v>250</v>
      </c>
      <c r="K26" s="6">
        <f t="shared" si="10"/>
        <v>250</v>
      </c>
      <c r="L26" s="6">
        <f t="shared" si="10"/>
        <v>250</v>
      </c>
      <c r="M26" s="6">
        <f t="shared" si="10"/>
        <v>250</v>
      </c>
      <c r="N26" s="6">
        <f t="shared" si="10"/>
        <v>250</v>
      </c>
    </row>
    <row r="27" spans="3:18">
      <c r="C27" t="s">
        <v>19</v>
      </c>
      <c r="G27" s="4">
        <v>0.21</v>
      </c>
      <c r="H27" s="4">
        <f t="shared" si="8"/>
        <v>0.21</v>
      </c>
      <c r="I27" s="4">
        <f t="shared" si="8"/>
        <v>0.21</v>
      </c>
      <c r="J27" s="4">
        <f t="shared" si="10"/>
        <v>0.21</v>
      </c>
      <c r="K27" s="4">
        <f t="shared" si="10"/>
        <v>0.21</v>
      </c>
      <c r="L27" s="4">
        <f t="shared" si="10"/>
        <v>0.21</v>
      </c>
      <c r="M27" s="4">
        <f t="shared" si="10"/>
        <v>0.21</v>
      </c>
      <c r="N27" s="4">
        <f t="shared" si="10"/>
        <v>0.21</v>
      </c>
      <c r="O27" s="4"/>
      <c r="P27" s="4"/>
      <c r="Q27" s="4"/>
      <c r="R27" s="4"/>
    </row>
    <row r="28" spans="3:18">
      <c r="C28" t="s">
        <v>20</v>
      </c>
      <c r="G28">
        <v>350</v>
      </c>
      <c r="H28">
        <v>350</v>
      </c>
      <c r="I28">
        <v>375</v>
      </c>
      <c r="J28">
        <v>2850</v>
      </c>
      <c r="K28">
        <f t="shared" ref="K28:N28" si="11">+J28</f>
        <v>2850</v>
      </c>
      <c r="L28">
        <f t="shared" si="11"/>
        <v>2850</v>
      </c>
      <c r="M28">
        <f t="shared" si="11"/>
        <v>2850</v>
      </c>
      <c r="N28">
        <f t="shared" si="11"/>
        <v>2850</v>
      </c>
    </row>
    <row r="29" spans="3:18">
      <c r="C29" t="s">
        <v>21</v>
      </c>
      <c r="G29">
        <v>250</v>
      </c>
      <c r="H29">
        <v>250</v>
      </c>
      <c r="I29">
        <v>250</v>
      </c>
      <c r="J29">
        <v>1500</v>
      </c>
      <c r="K29">
        <f t="shared" ref="K29:N29" si="12">+J29</f>
        <v>1500</v>
      </c>
      <c r="L29">
        <f t="shared" si="12"/>
        <v>1500</v>
      </c>
      <c r="M29">
        <f t="shared" si="12"/>
        <v>1500</v>
      </c>
      <c r="N29">
        <f t="shared" si="12"/>
        <v>1500</v>
      </c>
    </row>
    <row r="32" spans="3:18">
      <c r="C32" t="s">
        <v>22</v>
      </c>
    </row>
    <row r="33" spans="4:16">
      <c r="D33" t="s">
        <v>23</v>
      </c>
      <c r="G33" s="6">
        <v>3500</v>
      </c>
    </row>
    <row r="34" spans="4:16">
      <c r="D34" t="s">
        <v>24</v>
      </c>
    </row>
    <row r="35" spans="4:16">
      <c r="E35" t="s">
        <v>25</v>
      </c>
      <c r="G35">
        <v>30</v>
      </c>
      <c r="H35">
        <v>35</v>
      </c>
      <c r="I35">
        <v>31</v>
      </c>
      <c r="J35" s="6">
        <f>AVERAGE(H35:I35)</f>
        <v>33</v>
      </c>
      <c r="K35" s="6">
        <f t="shared" ref="J35:N39" si="13">AVERAGE(I35:J35)</f>
        <v>32</v>
      </c>
      <c r="L35" s="6">
        <f t="shared" si="13"/>
        <v>32.5</v>
      </c>
      <c r="M35" s="6">
        <f t="shared" si="13"/>
        <v>32.25</v>
      </c>
      <c r="N35" s="6">
        <f t="shared" si="13"/>
        <v>32.375</v>
      </c>
    </row>
    <row r="36" spans="4:16">
      <c r="E36" t="s">
        <v>26</v>
      </c>
      <c r="G36">
        <v>31</v>
      </c>
      <c r="H36">
        <v>32</v>
      </c>
      <c r="I36">
        <v>31</v>
      </c>
      <c r="J36" s="6">
        <f t="shared" si="13"/>
        <v>31.5</v>
      </c>
      <c r="K36" s="6">
        <f t="shared" si="13"/>
        <v>31.25</v>
      </c>
      <c r="L36" s="6">
        <f t="shared" si="13"/>
        <v>31.375</v>
      </c>
      <c r="M36" s="6">
        <f t="shared" si="13"/>
        <v>31.3125</v>
      </c>
      <c r="N36" s="6">
        <f t="shared" si="13"/>
        <v>31.34375</v>
      </c>
    </row>
    <row r="37" spans="4:16">
      <c r="E37" t="s">
        <v>27</v>
      </c>
      <c r="G37" s="4">
        <v>0.02</v>
      </c>
      <c r="H37" s="4">
        <f>+G37</f>
        <v>0.02</v>
      </c>
      <c r="I37" s="4">
        <f>+H37</f>
        <v>0.02</v>
      </c>
      <c r="J37" s="46">
        <f t="shared" si="13"/>
        <v>0.02</v>
      </c>
      <c r="K37" s="46">
        <f t="shared" si="13"/>
        <v>0.02</v>
      </c>
      <c r="L37" s="46">
        <f t="shared" si="13"/>
        <v>0.02</v>
      </c>
      <c r="M37" s="46">
        <f t="shared" si="13"/>
        <v>0.02</v>
      </c>
      <c r="N37" s="46">
        <f t="shared" si="13"/>
        <v>0.02</v>
      </c>
    </row>
    <row r="38" spans="4:16">
      <c r="E38" t="s">
        <v>28</v>
      </c>
      <c r="G38">
        <v>30</v>
      </c>
      <c r="H38">
        <v>30</v>
      </c>
      <c r="I38">
        <v>30</v>
      </c>
      <c r="J38" s="6">
        <f t="shared" ref="J38" si="14">AVERAGE(H38:I38)</f>
        <v>30</v>
      </c>
      <c r="K38" s="6">
        <f t="shared" si="13"/>
        <v>30</v>
      </c>
      <c r="L38" s="6">
        <f t="shared" si="13"/>
        <v>30</v>
      </c>
      <c r="M38" s="6">
        <f t="shared" si="13"/>
        <v>30</v>
      </c>
      <c r="N38" s="6">
        <f t="shared" si="13"/>
        <v>30</v>
      </c>
    </row>
    <row r="39" spans="4:16">
      <c r="E39" t="s">
        <v>29</v>
      </c>
      <c r="G39" s="4">
        <v>0.02</v>
      </c>
      <c r="H39" s="4">
        <f>+G39</f>
        <v>0.02</v>
      </c>
      <c r="I39" s="4">
        <f>+H39</f>
        <v>0.02</v>
      </c>
      <c r="J39" s="40">
        <f t="shared" si="13"/>
        <v>0.02</v>
      </c>
      <c r="K39" s="40">
        <f t="shared" si="13"/>
        <v>0.02</v>
      </c>
      <c r="L39" s="40">
        <f t="shared" si="13"/>
        <v>0.02</v>
      </c>
      <c r="M39" s="40">
        <f t="shared" si="13"/>
        <v>0.02</v>
      </c>
      <c r="N39" s="40">
        <f t="shared" si="13"/>
        <v>0.02</v>
      </c>
    </row>
    <row r="40" spans="4:16">
      <c r="E40" s="4"/>
    </row>
    <row r="41" spans="4:16">
      <c r="D41" t="s">
        <v>30</v>
      </c>
    </row>
    <row r="42" spans="4:16">
      <c r="E42" t="s">
        <v>31</v>
      </c>
      <c r="G42" s="6">
        <v>5000</v>
      </c>
      <c r="H42" s="6"/>
      <c r="I42" s="6"/>
      <c r="J42" s="6"/>
      <c r="K42" s="6"/>
      <c r="L42" s="6"/>
      <c r="M42" s="6"/>
      <c r="N42" s="6"/>
      <c r="O42" s="6"/>
      <c r="P42" s="6"/>
    </row>
    <row r="43" spans="4:16">
      <c r="E43" t="s">
        <v>32</v>
      </c>
      <c r="G43" s="6">
        <v>1000</v>
      </c>
      <c r="H43" s="6"/>
      <c r="I43" s="6"/>
      <c r="J43" s="6"/>
      <c r="K43" s="6"/>
      <c r="L43" s="6"/>
      <c r="M43" s="6"/>
      <c r="N43" s="6"/>
      <c r="O43" s="6"/>
      <c r="P43" s="6"/>
    </row>
    <row r="44" spans="4:16">
      <c r="E44" t="s">
        <v>33</v>
      </c>
      <c r="G44" s="6"/>
      <c r="H44" s="6">
        <v>3000</v>
      </c>
      <c r="I44" s="6">
        <f>+H44</f>
        <v>3000</v>
      </c>
      <c r="J44" s="6">
        <f>+I44</f>
        <v>3000</v>
      </c>
      <c r="K44" s="6">
        <f t="shared" ref="K44:N44" si="15">+J44</f>
        <v>3000</v>
      </c>
      <c r="L44" s="6">
        <f t="shared" si="15"/>
        <v>3000</v>
      </c>
      <c r="M44" s="6">
        <f t="shared" si="15"/>
        <v>3000</v>
      </c>
      <c r="N44" s="6">
        <f t="shared" si="15"/>
        <v>3000</v>
      </c>
      <c r="O44" s="6"/>
      <c r="P44" s="6"/>
    </row>
    <row r="45" spans="4:16">
      <c r="D45" t="s">
        <v>34</v>
      </c>
      <c r="G45" s="6">
        <v>2000</v>
      </c>
      <c r="H45" s="6"/>
      <c r="I45" s="6"/>
      <c r="J45" s="6"/>
      <c r="K45" s="6"/>
      <c r="L45" s="6"/>
      <c r="M45" s="6"/>
      <c r="N45" s="6"/>
      <c r="O45" s="6"/>
      <c r="P45" s="6"/>
    </row>
    <row r="46" spans="4:16">
      <c r="D46" t="s">
        <v>35</v>
      </c>
      <c r="G46" s="6">
        <v>1500</v>
      </c>
      <c r="H46" s="6"/>
      <c r="I46" s="6"/>
      <c r="J46" s="6"/>
      <c r="K46" s="6"/>
      <c r="L46" s="6"/>
      <c r="M46" s="6"/>
      <c r="N46" s="6"/>
      <c r="O46" s="6"/>
      <c r="P46" s="6"/>
    </row>
    <row r="47" spans="4:16">
      <c r="D47" t="s">
        <v>36</v>
      </c>
      <c r="G47" s="6">
        <v>500</v>
      </c>
      <c r="H47" s="6"/>
      <c r="I47" s="6"/>
      <c r="J47" s="6"/>
      <c r="K47" s="6"/>
      <c r="L47" s="6"/>
      <c r="M47" s="6"/>
      <c r="N47" s="6"/>
      <c r="O47" s="6"/>
      <c r="P47" s="6"/>
    </row>
    <row r="48" spans="4:16">
      <c r="D48" t="s">
        <v>37</v>
      </c>
      <c r="G48" s="6">
        <f>2500-1474.5681-0.000036986300983699</f>
        <v>1025.4318630136991</v>
      </c>
      <c r="H48" s="6"/>
      <c r="I48" s="6"/>
      <c r="J48" s="6"/>
      <c r="K48" s="6"/>
      <c r="L48" s="6"/>
      <c r="M48" s="6"/>
      <c r="N48" s="6"/>
      <c r="O48" s="6"/>
      <c r="P48" s="6"/>
    </row>
  </sheetData>
  <pageMargins left="0.7" right="0.7" top="0.75" bottom="0.75" header="0.3" footer="0.3"/>
  <pageSetup orientation="portrait" r:id="rId1"/>
  <ignoredErrors>
    <ignoredError sqref="J38"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83EE4-A807-420F-B9CB-C284DC4B8D4C}">
  <sheetPr>
    <tabColor theme="9" tint="-0.249977111117893"/>
  </sheetPr>
  <dimension ref="A1:N113"/>
  <sheetViews>
    <sheetView topLeftCell="A36" zoomScale="110" zoomScaleNormal="110" workbookViewId="0">
      <selection activeCell="G59" sqref="G59"/>
    </sheetView>
  </sheetViews>
  <sheetFormatPr defaultRowHeight="14.25"/>
  <cols>
    <col min="1" max="5" width="1.140625" customWidth="1"/>
    <col min="6" max="6" width="25.28515625" customWidth="1"/>
    <col min="7" max="14" width="9.140625" customWidth="1"/>
  </cols>
  <sheetData>
    <row r="1" spans="1:14" ht="23.25">
      <c r="A1" s="1" t="str">
        <f>"Financial Statements of "&amp;Comapny.Name</f>
        <v>Financial Statements of LeBronLiBerty Inc.</v>
      </c>
      <c r="B1" s="1"/>
    </row>
    <row r="2" spans="1:14" ht="21">
      <c r="B2" s="24" t="s">
        <v>38</v>
      </c>
    </row>
    <row r="3" spans="1:14">
      <c r="C3" t="s">
        <v>5</v>
      </c>
      <c r="G3" s="8" cm="1">
        <f t="array" ref="G3:I3">_xlfn.ANCHORARRAY(years)</f>
        <v>2025</v>
      </c>
      <c r="H3" s="8">
        <v>2026</v>
      </c>
      <c r="I3" s="8">
        <v>2027</v>
      </c>
      <c r="J3" s="36" cm="1">
        <f t="array" ref="J3:N3">_xlfn.SEQUENCE(1,5,I3+1)</f>
        <v>2028</v>
      </c>
      <c r="K3" s="36">
        <v>2029</v>
      </c>
      <c r="L3" s="36">
        <v>2030</v>
      </c>
      <c r="M3" s="36">
        <v>2031</v>
      </c>
      <c r="N3" s="36">
        <v>2032</v>
      </c>
    </row>
    <row r="4" spans="1:14">
      <c r="D4" t="s">
        <v>6</v>
      </c>
      <c r="G4" s="9" cm="1">
        <f t="array" ref="G4:I6">P.H.Revenues</f>
        <v>7900</v>
      </c>
      <c r="H4" s="9">
        <v>8089</v>
      </c>
      <c r="I4" s="9">
        <v>8232</v>
      </c>
      <c r="J4" s="6" cm="1">
        <f t="array" ref="J4:N6">P.F.Revenues</f>
        <v>8403.2353928995617</v>
      </c>
      <c r="K4" s="6">
        <v>8564.9116175533109</v>
      </c>
      <c r="L4" s="6">
        <v>8736.3852109782165</v>
      </c>
      <c r="M4" s="6">
        <v>8907.8814724804233</v>
      </c>
      <c r="N4" s="6">
        <v>9084.4828553533353</v>
      </c>
    </row>
    <row r="5" spans="1:14">
      <c r="D5" t="s">
        <v>7</v>
      </c>
      <c r="G5" s="10">
        <v>8179</v>
      </c>
      <c r="H5" s="10">
        <v>8105</v>
      </c>
      <c r="I5" s="10">
        <v>8375</v>
      </c>
      <c r="J5" s="6">
        <v>8476.6105629748436</v>
      </c>
      <c r="K5" s="6">
        <v>8669.2219334382971</v>
      </c>
      <c r="L5" s="6">
        <v>8820.3060633018285</v>
      </c>
      <c r="M5" s="6">
        <v>8997.3751764971003</v>
      </c>
      <c r="N5" s="6">
        <v>9166.0886132514552</v>
      </c>
    </row>
    <row r="6" spans="1:14">
      <c r="D6" t="s">
        <v>8</v>
      </c>
      <c r="G6" s="10">
        <v>8173</v>
      </c>
      <c r="H6" s="10">
        <v>8174</v>
      </c>
      <c r="I6" s="10">
        <v>8371</v>
      </c>
      <c r="J6" s="6">
        <v>8472.3860425878447</v>
      </c>
      <c r="K6" s="6">
        <v>8625.7887087807467</v>
      </c>
      <c r="L6" s="6">
        <v>8756.1147794083008</v>
      </c>
      <c r="M6" s="6">
        <v>8901.5323125744926</v>
      </c>
      <c r="N6" s="6">
        <v>9042.6947178117043</v>
      </c>
    </row>
    <row r="7" spans="1:14">
      <c r="C7" t="s">
        <v>39</v>
      </c>
      <c r="G7" s="11">
        <f>SUM(G4:G6)</f>
        <v>24252</v>
      </c>
      <c r="H7" s="11">
        <f t="shared" ref="H7:N7" si="0">SUM(H4:H6)</f>
        <v>24368</v>
      </c>
      <c r="I7" s="11">
        <f t="shared" si="0"/>
        <v>24978</v>
      </c>
      <c r="J7" s="11">
        <f t="shared" si="0"/>
        <v>25352.231998462252</v>
      </c>
      <c r="K7" s="11">
        <f t="shared" si="0"/>
        <v>25859.922259772356</v>
      </c>
      <c r="L7" s="11">
        <f t="shared" si="0"/>
        <v>26312.806053688346</v>
      </c>
      <c r="M7" s="11">
        <f t="shared" si="0"/>
        <v>26806.788961552018</v>
      </c>
      <c r="N7" s="11">
        <f t="shared" si="0"/>
        <v>27293.266186416495</v>
      </c>
    </row>
    <row r="9" spans="1:14">
      <c r="C9" t="s">
        <v>40</v>
      </c>
    </row>
    <row r="10" spans="1:14">
      <c r="D10" t="str" cm="1">
        <f t="array" ref="D10:D12">+D4:D6</f>
        <v>Basketballs</v>
      </c>
      <c r="G10" s="12" cm="1">
        <f t="array" ref="G10:I12">+P.H.Revenues*(P.H.COGS)</f>
        <v>3792.0000000000005</v>
      </c>
      <c r="H10" s="12">
        <v>3801.8300000000004</v>
      </c>
      <c r="I10" s="12">
        <v>4033.6800000000003</v>
      </c>
      <c r="J10" s="6" cm="1">
        <f t="array" ref="J10:N12">P.F.Revenues*P.F.COGS</f>
        <v>4033.5529885917899</v>
      </c>
      <c r="K10" s="6">
        <v>4111.1575764255895</v>
      </c>
      <c r="L10" s="6">
        <v>4222.5861853061388</v>
      </c>
      <c r="M10" s="6">
        <v>4285.680752871137</v>
      </c>
      <c r="N10" s="6">
        <v>4374.0102636886422</v>
      </c>
    </row>
    <row r="11" spans="1:14">
      <c r="D11" t="str">
        <v>Shoes</v>
      </c>
      <c r="G11" s="12">
        <v>3844.13</v>
      </c>
      <c r="H11" s="12">
        <v>3647.25</v>
      </c>
      <c r="I11" s="12">
        <v>4020.0000000000005</v>
      </c>
      <c r="J11" s="6">
        <v>3955.7515960549276</v>
      </c>
      <c r="K11" s="6">
        <v>4036.004433456274</v>
      </c>
      <c r="L11" s="6">
        <v>4152.0774097987496</v>
      </c>
      <c r="M11" s="6">
        <v>4207.6613788359273</v>
      </c>
      <c r="N11" s="6">
        <v>4289.5785888845903</v>
      </c>
    </row>
    <row r="12" spans="1:14">
      <c r="D12" t="str">
        <v>Apparel</v>
      </c>
      <c r="G12" s="12">
        <v>4086.5</v>
      </c>
      <c r="H12" s="12">
        <v>4087</v>
      </c>
      <c r="I12" s="12">
        <v>4101.79</v>
      </c>
      <c r="J12" s="6">
        <v>4207.9517344852957</v>
      </c>
      <c r="K12" s="6">
        <v>4274.5575156846808</v>
      </c>
      <c r="L12" s="6">
        <v>4326.169302122471</v>
      </c>
      <c r="M12" s="6">
        <v>4410.1048358470907</v>
      </c>
      <c r="N12" s="6">
        <v>4476.3199489941153</v>
      </c>
    </row>
    <row r="13" spans="1:14">
      <c r="C13" t="s">
        <v>39</v>
      </c>
      <c r="G13" s="13">
        <f t="shared" ref="G13:N13" si="1">SUM(G10:G12)</f>
        <v>11722.630000000001</v>
      </c>
      <c r="H13" s="13">
        <f t="shared" si="1"/>
        <v>11536.08</v>
      </c>
      <c r="I13" s="13">
        <f t="shared" si="1"/>
        <v>12155.470000000001</v>
      </c>
      <c r="J13" s="13">
        <f t="shared" si="1"/>
        <v>12197.256319132013</v>
      </c>
      <c r="K13" s="13">
        <f t="shared" si="1"/>
        <v>12421.719525566545</v>
      </c>
      <c r="L13" s="13">
        <f t="shared" si="1"/>
        <v>12700.832897227359</v>
      </c>
      <c r="M13" s="13">
        <f t="shared" si="1"/>
        <v>12903.446967554155</v>
      </c>
      <c r="N13" s="13">
        <f t="shared" si="1"/>
        <v>13139.908801567348</v>
      </c>
    </row>
    <row r="15" spans="1:14">
      <c r="C15" t="s">
        <v>41</v>
      </c>
      <c r="G15" s="18" cm="1">
        <f t="array" ref="G15:I15">+H.Revenues-H.COGS</f>
        <v>12529.369999999999</v>
      </c>
      <c r="H15" s="18">
        <v>12831.92</v>
      </c>
      <c r="I15" s="18">
        <v>12822.529999999999</v>
      </c>
      <c r="J15" s="16" cm="1">
        <f t="array" ref="J15:N15">f.revenues-F.COGS</f>
        <v>13154.975679330239</v>
      </c>
      <c r="K15" s="16">
        <v>13438.202734205812</v>
      </c>
      <c r="L15" s="16">
        <v>13611.973156460987</v>
      </c>
      <c r="M15" s="16">
        <v>13903.341993997863</v>
      </c>
      <c r="N15" s="16">
        <v>14153.357384849147</v>
      </c>
    </row>
    <row r="16" spans="1:14">
      <c r="D16" t="s">
        <v>42</v>
      </c>
      <c r="G16" s="14" cm="1">
        <f t="array" ref="G16:I16">+H.Margin/H.Revenues</f>
        <v>0.5166324426851393</v>
      </c>
      <c r="H16" s="14">
        <v>0.52658896913985553</v>
      </c>
      <c r="I16" s="14">
        <v>0.51335295059652486</v>
      </c>
      <c r="J16" s="31" cm="1">
        <f t="array" ref="J16:N16">+F.Margin/f.revenues</f>
        <v>0.51888826514873165</v>
      </c>
      <c r="K16" s="31">
        <v>0.51965364006953163</v>
      </c>
      <c r="L16" s="31">
        <v>0.51731362777072398</v>
      </c>
      <c r="M16" s="31">
        <v>0.51865003353959738</v>
      </c>
      <c r="N16" s="31">
        <v>0.51856590882820353</v>
      </c>
    </row>
    <row r="18" spans="3:14">
      <c r="C18" t="s">
        <v>11</v>
      </c>
    </row>
    <row r="19" spans="3:14">
      <c r="D19" t="s">
        <v>12</v>
      </c>
      <c r="G19" s="6" cm="1">
        <f t="array" ref="G19:I23">+P.H.OpEx*H.Revenues</f>
        <v>727.56</v>
      </c>
      <c r="H19" s="6">
        <v>731.04</v>
      </c>
      <c r="I19" s="6">
        <v>749.33999999999992</v>
      </c>
      <c r="J19" s="6" cm="1">
        <f t="array" ref="J19:N23">P.F.OpEx*f.revenues</f>
        <v>760.56695995386758</v>
      </c>
      <c r="K19" s="6">
        <v>775.79766779317072</v>
      </c>
      <c r="L19" s="6">
        <v>789.38418161065033</v>
      </c>
      <c r="M19" s="6">
        <v>804.2036688465605</v>
      </c>
      <c r="N19" s="6">
        <v>818.7979855924948</v>
      </c>
    </row>
    <row r="20" spans="3:14">
      <c r="D20" t="s">
        <v>13</v>
      </c>
      <c r="G20" s="6">
        <v>606.30000000000007</v>
      </c>
      <c r="H20" s="6">
        <v>609.20000000000005</v>
      </c>
      <c r="I20" s="6">
        <v>624.45000000000005</v>
      </c>
      <c r="J20" s="6">
        <v>633.80579996155632</v>
      </c>
      <c r="K20" s="6">
        <v>646.49805649430891</v>
      </c>
      <c r="L20" s="6">
        <v>657.82015134220865</v>
      </c>
      <c r="M20" s="6">
        <v>670.1697240388005</v>
      </c>
      <c r="N20" s="6">
        <v>682.33165466041237</v>
      </c>
    </row>
    <row r="21" spans="3:14">
      <c r="D21" t="s">
        <v>14</v>
      </c>
      <c r="G21" s="6">
        <v>679.05600000000004</v>
      </c>
      <c r="H21" s="6">
        <v>682.30399999999997</v>
      </c>
      <c r="I21" s="6">
        <v>699.38400000000001</v>
      </c>
      <c r="J21" s="6">
        <v>709.86249595694312</v>
      </c>
      <c r="K21" s="6">
        <v>724.077823273626</v>
      </c>
      <c r="L21" s="6">
        <v>736.75856950327375</v>
      </c>
      <c r="M21" s="6">
        <v>750.5900909234565</v>
      </c>
      <c r="N21" s="6">
        <v>764.21145321966185</v>
      </c>
    </row>
    <row r="22" spans="3:14">
      <c r="D22" t="s">
        <v>15</v>
      </c>
      <c r="G22" s="6">
        <v>751.81200000000001</v>
      </c>
      <c r="H22" s="6">
        <v>755.40800000000002</v>
      </c>
      <c r="I22" s="6">
        <v>774.31799999999998</v>
      </c>
      <c r="J22" s="6">
        <v>785.91919195232981</v>
      </c>
      <c r="K22" s="6">
        <v>801.65759005294308</v>
      </c>
      <c r="L22" s="6">
        <v>815.69698766433874</v>
      </c>
      <c r="M22" s="6">
        <v>831.01045780811251</v>
      </c>
      <c r="N22" s="6">
        <v>846.09125177891133</v>
      </c>
    </row>
    <row r="23" spans="3:14">
      <c r="D23" t="s">
        <v>16</v>
      </c>
      <c r="G23" s="6">
        <v>2546.46</v>
      </c>
      <c r="H23" s="6">
        <v>2558.64</v>
      </c>
      <c r="I23" s="6">
        <v>2622.69</v>
      </c>
      <c r="J23" s="6">
        <v>2661.9843598385364</v>
      </c>
      <c r="K23" s="6">
        <v>2715.2918372760973</v>
      </c>
      <c r="L23" s="6">
        <v>2762.844635637276</v>
      </c>
      <c r="M23" s="6">
        <v>2814.7128409629618</v>
      </c>
      <c r="N23" s="6">
        <v>2865.7929495737317</v>
      </c>
    </row>
    <row r="24" spans="3:14">
      <c r="D24" t="s">
        <v>17</v>
      </c>
      <c r="G24" cm="1">
        <f t="array" ref="G24:I24">+P.H.Depreciation</f>
        <v>2500</v>
      </c>
      <c r="H24">
        <v>2500</v>
      </c>
      <c r="I24">
        <v>2500</v>
      </c>
      <c r="J24" cm="1">
        <f t="array" ref="J24:N24">P.F.Depreciation</f>
        <v>2500</v>
      </c>
      <c r="K24">
        <v>2500</v>
      </c>
      <c r="L24">
        <v>2500</v>
      </c>
      <c r="M24">
        <v>2500</v>
      </c>
      <c r="N24">
        <v>2500</v>
      </c>
    </row>
    <row r="25" spans="3:14">
      <c r="D25" t="s">
        <v>18</v>
      </c>
      <c r="G25" cm="1">
        <f t="array" ref="G25:I25">+P.H.Amorization</f>
        <v>250</v>
      </c>
      <c r="H25">
        <v>250</v>
      </c>
      <c r="I25">
        <v>250</v>
      </c>
      <c r="J25" cm="1">
        <f t="array" ref="J25:N25">P.F.Amorization</f>
        <v>250</v>
      </c>
      <c r="K25">
        <v>250</v>
      </c>
      <c r="L25">
        <v>250</v>
      </c>
      <c r="M25">
        <v>250</v>
      </c>
      <c r="N25">
        <v>250</v>
      </c>
    </row>
    <row r="26" spans="3:14">
      <c r="C26" t="s">
        <v>43</v>
      </c>
      <c r="G26" s="11">
        <f>SUM(G19:G25)</f>
        <v>8061.1880000000001</v>
      </c>
      <c r="H26" s="11">
        <f t="shared" ref="H26:N26" si="2">SUM(H19:H25)</f>
        <v>8086.5919999999996</v>
      </c>
      <c r="I26" s="11">
        <f t="shared" si="2"/>
        <v>8220.1820000000007</v>
      </c>
      <c r="J26" s="11">
        <f t="shared" si="2"/>
        <v>8302.1388076632338</v>
      </c>
      <c r="K26" s="11">
        <f t="shared" si="2"/>
        <v>8413.3229748901467</v>
      </c>
      <c r="L26" s="11">
        <f t="shared" si="2"/>
        <v>8512.5045257577476</v>
      </c>
      <c r="M26" s="11">
        <f t="shared" si="2"/>
        <v>8620.6867825798927</v>
      </c>
      <c r="N26" s="11">
        <f t="shared" si="2"/>
        <v>8727.2252948252117</v>
      </c>
    </row>
    <row r="28" spans="3:14" ht="15">
      <c r="C28" s="7" t="s">
        <v>44</v>
      </c>
      <c r="G28" s="6" cm="1">
        <f t="array" ref="G28:I28">+H.Margin-G26:I26</f>
        <v>4468.1819999999989</v>
      </c>
      <c r="H28" s="6">
        <v>4745.3280000000004</v>
      </c>
      <c r="I28" s="6">
        <v>4602.3479999999981</v>
      </c>
      <c r="J28" s="6" cm="1">
        <f t="array" ref="J28:N28">F.Margin-F.OpEx</f>
        <v>4852.8368716670047</v>
      </c>
      <c r="K28" s="6">
        <v>5024.8797593156651</v>
      </c>
      <c r="L28" s="6">
        <v>5099.4686307032389</v>
      </c>
      <c r="M28" s="6">
        <v>5282.6552114179703</v>
      </c>
      <c r="N28" s="6">
        <v>5426.1320900239352</v>
      </c>
    </row>
    <row r="30" spans="3:14">
      <c r="C30" t="s">
        <v>45</v>
      </c>
      <c r="G30" s="6" cm="1">
        <f t="array" ref="G30:I30">D.H.Int.Expense</f>
        <v>355.625</v>
      </c>
      <c r="H30" s="6">
        <v>367</v>
      </c>
      <c r="I30" s="6">
        <v>348.375</v>
      </c>
      <c r="J30" s="6" cm="1">
        <f t="array" ref="J30:N30">D.F.Int.Exp</f>
        <v>331.125</v>
      </c>
      <c r="K30" s="6">
        <v>316.75</v>
      </c>
      <c r="L30" s="6">
        <v>302.375</v>
      </c>
      <c r="M30" s="6">
        <v>288</v>
      </c>
      <c r="N30" s="6">
        <v>273.625</v>
      </c>
    </row>
    <row r="31" spans="3:14">
      <c r="J31" s="6"/>
      <c r="K31" s="6"/>
      <c r="L31" s="6"/>
      <c r="M31" s="6"/>
      <c r="N31" s="6"/>
    </row>
    <row r="32" spans="3:14">
      <c r="C32" t="s">
        <v>46</v>
      </c>
      <c r="G32" s="15" cm="1">
        <f t="array" ref="G32:I32">+_xlfn.ANCHORARRAY(G28)-G30:I30</f>
        <v>4112.5569999999989</v>
      </c>
      <c r="H32" s="6">
        <v>4378.3280000000004</v>
      </c>
      <c r="I32" s="6">
        <v>4253.9729999999981</v>
      </c>
      <c r="J32" s="6" cm="1">
        <f t="array" ref="J32:N32">+_xlfn.ANCHORARRAY(J28)-_xlfn.ANCHORARRAY(J30)</f>
        <v>4521.7118716670047</v>
      </c>
      <c r="K32" s="6">
        <v>4708.1297593156651</v>
      </c>
      <c r="L32" s="6">
        <v>4797.0936307032389</v>
      </c>
      <c r="M32" s="6">
        <v>4994.6552114179703</v>
      </c>
      <c r="N32" s="6">
        <v>5152.5070900239352</v>
      </c>
    </row>
    <row r="33" spans="2:14">
      <c r="J33" s="6"/>
      <c r="K33" s="6"/>
      <c r="L33" s="6"/>
      <c r="M33" s="6"/>
      <c r="N33" s="6"/>
    </row>
    <row r="34" spans="2:14">
      <c r="C34" t="s">
        <v>47</v>
      </c>
      <c r="G34" s="6" cm="1">
        <f t="array" ref="G34:I34">+_xlfn.ANCHORARRAY(G32)*Tax.Rate</f>
        <v>863.63696999999968</v>
      </c>
      <c r="H34" s="6">
        <v>919.44888000000003</v>
      </c>
      <c r="I34" s="6">
        <v>893.33432999999957</v>
      </c>
      <c r="J34" s="6" cm="1">
        <f t="array" ref="J34:N34">_xlfn.ANCHORARRAY(J32)*P.F.Tax</f>
        <v>949.55949305007096</v>
      </c>
      <c r="K34" s="6">
        <v>988.70724945628967</v>
      </c>
      <c r="L34" s="6">
        <v>1007.3896624476802</v>
      </c>
      <c r="M34" s="6">
        <v>1048.8775943977737</v>
      </c>
      <c r="N34" s="6">
        <v>1082.0264889050263</v>
      </c>
    </row>
    <row r="35" spans="2:14">
      <c r="J35" s="6"/>
      <c r="K35" s="6"/>
      <c r="L35" s="6"/>
      <c r="M35" s="6"/>
      <c r="N35" s="6"/>
    </row>
    <row r="36" spans="2:14">
      <c r="C36" t="s">
        <v>48</v>
      </c>
      <c r="G36" s="6" cm="1">
        <f t="array" ref="G36:I36">+_xlfn.ANCHORARRAY(G32)-_xlfn.ANCHORARRAY(G34)</f>
        <v>3248.9200299999993</v>
      </c>
      <c r="H36" s="6">
        <v>3458.8791200000005</v>
      </c>
      <c r="I36" s="6">
        <v>3360.6386699999985</v>
      </c>
      <c r="J36" s="6" cm="1">
        <f t="array" ref="J36:N36">_xlfn.ANCHORARRAY(J32)-_xlfn.ANCHORARRAY(J34)</f>
        <v>3572.1523786169337</v>
      </c>
      <c r="K36" s="6">
        <v>3719.4225098593752</v>
      </c>
      <c r="L36" s="6">
        <v>3789.7039682555587</v>
      </c>
      <c r="M36" s="6">
        <v>3945.7776170201969</v>
      </c>
      <c r="N36" s="6">
        <v>4070.4806011189089</v>
      </c>
    </row>
    <row r="37" spans="2:14">
      <c r="C37" t="s">
        <v>49</v>
      </c>
      <c r="G37" s="6" cm="1">
        <f t="array" ref="G37:I37">-P.H.Dividends</f>
        <v>-350</v>
      </c>
      <c r="H37" s="6">
        <v>-350</v>
      </c>
      <c r="I37" s="6">
        <v>-375</v>
      </c>
      <c r="J37" s="6" cm="1">
        <f t="array" ref="J37:N37">-P.F.Dividends</f>
        <v>-2850</v>
      </c>
      <c r="K37" s="6">
        <v>-2850</v>
      </c>
      <c r="L37" s="6">
        <v>-2850</v>
      </c>
      <c r="M37" s="6">
        <v>-2850</v>
      </c>
      <c r="N37" s="6">
        <v>-2850</v>
      </c>
    </row>
    <row r="38" spans="2:14">
      <c r="C38" t="s">
        <v>50</v>
      </c>
      <c r="G38" s="16" cm="1">
        <f t="array" ref="G38:I38">+H.Net.Income+_xlfn.ANCHORARRAY(G37)</f>
        <v>2898.9200299999993</v>
      </c>
      <c r="H38" s="16">
        <v>3108.8791200000005</v>
      </c>
      <c r="I38" s="16">
        <v>2985.6386699999985</v>
      </c>
      <c r="J38" s="16" cm="1">
        <f t="array" ref="J38:N38">_xlfn.ANCHORARRAY(J36)+_xlfn.ANCHORARRAY(J37)</f>
        <v>722.15237861693367</v>
      </c>
      <c r="K38" s="16">
        <v>869.42250985937517</v>
      </c>
      <c r="L38" s="16">
        <v>939.70396825555872</v>
      </c>
      <c r="M38" s="16">
        <v>1095.7776170201969</v>
      </c>
      <c r="N38" s="16">
        <v>1220.4806011189089</v>
      </c>
    </row>
    <row r="39" spans="2:14">
      <c r="J39" s="6"/>
      <c r="K39" s="6"/>
      <c r="L39" s="6"/>
      <c r="M39" s="6"/>
      <c r="N39" s="6"/>
    </row>
    <row r="40" spans="2:14">
      <c r="J40" s="6"/>
      <c r="K40" s="6"/>
      <c r="L40" s="6"/>
      <c r="M40" s="6"/>
      <c r="N40" s="6"/>
    </row>
    <row r="41" spans="2:14" ht="21">
      <c r="B41" s="24" t="s">
        <v>51</v>
      </c>
      <c r="G41" s="8" cm="1">
        <f t="array" ref="G41:I41">_xlfn.ANCHORARRAY(years)</f>
        <v>2025</v>
      </c>
      <c r="H41" s="8">
        <v>2026</v>
      </c>
      <c r="I41" s="8">
        <v>2027</v>
      </c>
      <c r="J41" s="36" cm="1">
        <f t="array" ref="J41:N41">_xlfn.SEQUENCE(1,5,I41+1)</f>
        <v>2028</v>
      </c>
      <c r="K41" s="36">
        <v>2029</v>
      </c>
      <c r="L41" s="36">
        <v>2030</v>
      </c>
      <c r="M41" s="36">
        <v>2031</v>
      </c>
      <c r="N41" s="36">
        <v>2032</v>
      </c>
    </row>
    <row r="42" spans="2:14" ht="15.75">
      <c r="C42" s="23" t="s">
        <v>52</v>
      </c>
      <c r="J42" s="6"/>
      <c r="K42" s="6"/>
      <c r="L42" s="6"/>
      <c r="M42" s="6"/>
      <c r="N42" s="6"/>
    </row>
    <row r="43" spans="2:14">
      <c r="D43" t="s">
        <v>53</v>
      </c>
      <c r="J43" s="6"/>
      <c r="K43" s="6"/>
      <c r="L43" s="6"/>
      <c r="M43" s="6"/>
      <c r="N43" s="6"/>
    </row>
    <row r="44" spans="2:14">
      <c r="E44" t="s">
        <v>54</v>
      </c>
      <c r="G44" s="9" cm="1">
        <f t="array" ref="G44:I44">+H.Cash</f>
        <v>3500</v>
      </c>
      <c r="H44" s="9">
        <v>5484.4420515068505</v>
      </c>
      <c r="I44" s="9">
        <v>7515.22781739726</v>
      </c>
      <c r="J44" s="6" cm="1">
        <f t="array" ref="J44:N44">+F.Cash</f>
        <v>5999.8567153896656</v>
      </c>
      <c r="K44" s="6">
        <v>4901.8131395182972</v>
      </c>
      <c r="L44" s="6">
        <v>3760.4618193933484</v>
      </c>
      <c r="M44" s="6">
        <v>2832.0616934644795</v>
      </c>
      <c r="N44" s="6">
        <v>1998.2367409330509</v>
      </c>
    </row>
    <row r="45" spans="2:14">
      <c r="E45" t="s">
        <v>55</v>
      </c>
      <c r="G45" s="6" cm="1">
        <f t="array" ref="G45:I45">+H.Revenues*(P.H.Accts.Rec.Days/365)</f>
        <v>1993.3150684931506</v>
      </c>
      <c r="H45" s="6">
        <v>2336.6575342465753</v>
      </c>
      <c r="I45" s="6">
        <v>2121.4191780821916</v>
      </c>
      <c r="J45" s="6" cm="1">
        <f t="array" ref="J45:N45">+f.revenues*(P.F.Accts.Rec.Days/365)</f>
        <v>2292.1196053404228</v>
      </c>
      <c r="K45" s="6">
        <v>2267.1712666101794</v>
      </c>
      <c r="L45" s="6">
        <v>2342.9210869722497</v>
      </c>
      <c r="M45" s="6">
        <v>2368.5450520823356</v>
      </c>
      <c r="N45" s="6">
        <v>2420.8753226992712</v>
      </c>
    </row>
    <row r="46" spans="2:14">
      <c r="E46" t="s">
        <v>56</v>
      </c>
      <c r="G46" s="6" cm="1">
        <f t="array" ref="G46:I46">+H.COGS*(P.H.Inventory.Days/365)</f>
        <v>995.62063013698639</v>
      </c>
      <c r="H46" s="6">
        <v>1011.3823561643835</v>
      </c>
      <c r="I46" s="6">
        <v>1032.382383561644</v>
      </c>
      <c r="J46" s="6" cm="1">
        <f t="array" ref="J46:N46">+F.COGS*(P.F.Inventory.Days/365)</f>
        <v>1052.6399289113931</v>
      </c>
      <c r="K46" s="6">
        <v>1063.5033840382316</v>
      </c>
      <c r="L46" s="6">
        <v>1091.7496771246804</v>
      </c>
      <c r="M46" s="6">
        <v>1106.9566662233958</v>
      </c>
      <c r="N46" s="6">
        <v>1128.3671684907576</v>
      </c>
    </row>
    <row r="47" spans="2:14">
      <c r="E47" t="s">
        <v>57</v>
      </c>
      <c r="G47" s="6" cm="1">
        <f t="array" ref="G47:I47">+H.Revenues*P.H.Prepaids</f>
        <v>485.04</v>
      </c>
      <c r="H47" s="6">
        <v>487.36</v>
      </c>
      <c r="I47" s="6">
        <v>499.56</v>
      </c>
      <c r="J47" s="6" cm="1">
        <f t="array" ref="J47:N47">+f.revenues*P.F.Prepaids</f>
        <v>507.04463996924505</v>
      </c>
      <c r="K47" s="6">
        <v>517.19844519544711</v>
      </c>
      <c r="L47" s="6">
        <v>526.25612107376696</v>
      </c>
      <c r="M47" s="6">
        <v>536.13577923104037</v>
      </c>
      <c r="N47" s="6">
        <v>545.86532372832994</v>
      </c>
    </row>
    <row r="48" spans="2:14">
      <c r="D48" t="s">
        <v>58</v>
      </c>
      <c r="G48" s="16">
        <f>SUM(G44:G47)</f>
        <v>6973.9756986301372</v>
      </c>
      <c r="H48" s="16">
        <f t="shared" ref="H48:N48" si="3">SUM(H44:H47)</f>
        <v>9319.8419419178099</v>
      </c>
      <c r="I48" s="16">
        <f t="shared" si="3"/>
        <v>11168.589379041096</v>
      </c>
      <c r="J48" s="16">
        <f t="shared" si="3"/>
        <v>9851.6608896107264</v>
      </c>
      <c r="K48" s="16">
        <f t="shared" si="3"/>
        <v>8749.6862353621545</v>
      </c>
      <c r="L48" s="16">
        <f t="shared" si="3"/>
        <v>7721.3887045640449</v>
      </c>
      <c r="M48" s="16">
        <f t="shared" si="3"/>
        <v>6843.6991910012503</v>
      </c>
      <c r="N48" s="16">
        <f t="shared" si="3"/>
        <v>6093.3445558514095</v>
      </c>
    </row>
    <row r="49" spans="3:14">
      <c r="J49" s="6"/>
      <c r="K49" s="6"/>
      <c r="L49" s="6"/>
      <c r="M49" s="6"/>
      <c r="N49" s="6"/>
    </row>
    <row r="50" spans="3:14">
      <c r="D50" t="s">
        <v>59</v>
      </c>
      <c r="J50" s="6"/>
      <c r="K50" s="6"/>
      <c r="L50" s="6"/>
      <c r="M50" s="6"/>
      <c r="N50" s="6"/>
    </row>
    <row r="51" spans="3:14">
      <c r="E51" t="s">
        <v>60</v>
      </c>
      <c r="J51" s="6"/>
      <c r="K51" s="6"/>
      <c r="L51" s="6"/>
      <c r="M51" s="6"/>
      <c r="N51" s="6"/>
    </row>
    <row r="52" spans="3:14">
      <c r="F52" t="s">
        <v>61</v>
      </c>
      <c r="G52" s="6">
        <f>+Start.Gross</f>
        <v>5000</v>
      </c>
      <c r="H52" s="6">
        <f>+G52+Parameters!H44</f>
        <v>8000</v>
      </c>
      <c r="I52" s="6">
        <f>+H52+Parameters!I44</f>
        <v>11000</v>
      </c>
      <c r="J52" s="6">
        <f>+I52+Parameters!J44</f>
        <v>14000</v>
      </c>
      <c r="K52" s="6">
        <f>+J52+Parameters!K44</f>
        <v>17000</v>
      </c>
      <c r="L52" s="6">
        <f>+K52+Parameters!L44</f>
        <v>20000</v>
      </c>
      <c r="M52" s="6">
        <f>+L52+Parameters!M44</f>
        <v>23000</v>
      </c>
      <c r="N52" s="6">
        <f>+M52+Parameters!N44</f>
        <v>26000</v>
      </c>
    </row>
    <row r="53" spans="3:14">
      <c r="F53" t="s">
        <v>62</v>
      </c>
      <c r="G53" s="17">
        <f>-Start.AccDep</f>
        <v>-1000</v>
      </c>
      <c r="H53" s="10">
        <f>+G53-H24</f>
        <v>-3500</v>
      </c>
      <c r="I53" s="10">
        <f>+H53-I24</f>
        <v>-6000</v>
      </c>
      <c r="J53" s="10">
        <f t="shared" ref="J53:N53" si="4">+I53-J24</f>
        <v>-8500</v>
      </c>
      <c r="K53" s="10">
        <f t="shared" si="4"/>
        <v>-11000</v>
      </c>
      <c r="L53" s="10">
        <f t="shared" si="4"/>
        <v>-13500</v>
      </c>
      <c r="M53" s="10">
        <f t="shared" si="4"/>
        <v>-16000</v>
      </c>
      <c r="N53" s="10">
        <f t="shared" si="4"/>
        <v>-18500</v>
      </c>
    </row>
    <row r="54" spans="3:14">
      <c r="E54" t="s">
        <v>63</v>
      </c>
      <c r="G54" s="18">
        <f>SUM(G52:G53)</f>
        <v>4000</v>
      </c>
      <c r="H54" s="18">
        <f>SUM(H52:H53)</f>
        <v>4500</v>
      </c>
      <c r="I54" s="18">
        <f>SUM(I52:I53)</f>
        <v>5000</v>
      </c>
      <c r="J54" s="18">
        <f t="shared" ref="J54:N54" si="5">SUM(J52:J53)</f>
        <v>5500</v>
      </c>
      <c r="K54" s="18">
        <f t="shared" si="5"/>
        <v>6000</v>
      </c>
      <c r="L54" s="18">
        <f t="shared" si="5"/>
        <v>6500</v>
      </c>
      <c r="M54" s="18">
        <f t="shared" si="5"/>
        <v>7000</v>
      </c>
      <c r="N54" s="18">
        <f t="shared" si="5"/>
        <v>7500</v>
      </c>
    </row>
    <row r="55" spans="3:14">
      <c r="E55" t="s">
        <v>64</v>
      </c>
      <c r="G55" s="6">
        <f>Start.Goodwill</f>
        <v>2000</v>
      </c>
      <c r="H55" s="6">
        <f>G55-H25</f>
        <v>1750</v>
      </c>
      <c r="I55" s="6">
        <f>H55-I25</f>
        <v>1500</v>
      </c>
      <c r="J55" s="6">
        <f t="shared" ref="J55:N55" si="6">I55-J25</f>
        <v>1250</v>
      </c>
      <c r="K55" s="6">
        <f t="shared" si="6"/>
        <v>1000</v>
      </c>
      <c r="L55" s="6">
        <f t="shared" si="6"/>
        <v>750</v>
      </c>
      <c r="M55" s="6">
        <f t="shared" si="6"/>
        <v>500</v>
      </c>
      <c r="N55" s="6">
        <f t="shared" si="6"/>
        <v>250</v>
      </c>
    </row>
    <row r="56" spans="3:14">
      <c r="E56" t="s">
        <v>65</v>
      </c>
      <c r="G56" s="6">
        <f>Start.IP</f>
        <v>1500</v>
      </c>
      <c r="H56" s="6">
        <f>+G56</f>
        <v>1500</v>
      </c>
      <c r="I56" s="6">
        <f>+H56</f>
        <v>1500</v>
      </c>
      <c r="J56" s="6">
        <f t="shared" ref="J56:N56" si="7">+I56</f>
        <v>1500</v>
      </c>
      <c r="K56" s="6">
        <f t="shared" si="7"/>
        <v>1500</v>
      </c>
      <c r="L56" s="6">
        <f t="shared" si="7"/>
        <v>1500</v>
      </c>
      <c r="M56" s="6">
        <f t="shared" si="7"/>
        <v>1500</v>
      </c>
      <c r="N56" s="6">
        <f t="shared" si="7"/>
        <v>1500</v>
      </c>
    </row>
    <row r="57" spans="3:14">
      <c r="D57" t="s">
        <v>66</v>
      </c>
      <c r="G57" s="18">
        <f>SUM(G54:G56)</f>
        <v>7500</v>
      </c>
      <c r="H57" s="18">
        <f t="shared" ref="H57:I57" si="8">SUM(H54:H56)</f>
        <v>7750</v>
      </c>
      <c r="I57" s="18">
        <f t="shared" si="8"/>
        <v>8000</v>
      </c>
      <c r="J57" s="18">
        <f t="shared" ref="J57:N57" si="9">SUM(J54:J56)</f>
        <v>8250</v>
      </c>
      <c r="K57" s="18">
        <f t="shared" si="9"/>
        <v>8500</v>
      </c>
      <c r="L57" s="18">
        <f t="shared" si="9"/>
        <v>8750</v>
      </c>
      <c r="M57" s="18">
        <f t="shared" si="9"/>
        <v>9000</v>
      </c>
      <c r="N57" s="18">
        <f t="shared" si="9"/>
        <v>9250</v>
      </c>
    </row>
    <row r="58" spans="3:14">
      <c r="C58" t="s">
        <v>67</v>
      </c>
      <c r="G58" s="22" cm="1">
        <f t="array" ref="G58:I58">H.ST.Assets+H.LT.Assets</f>
        <v>14473.975698630136</v>
      </c>
      <c r="H58" s="22">
        <v>17069.84194191781</v>
      </c>
      <c r="I58" s="22">
        <v>19168.589379041096</v>
      </c>
      <c r="J58" s="22">
        <f>+J57+J48</f>
        <v>18101.660889610728</v>
      </c>
      <c r="K58" s="22">
        <f t="shared" ref="K58:N58" si="10">+K57+K48</f>
        <v>17249.686235362155</v>
      </c>
      <c r="L58" s="22">
        <f t="shared" si="10"/>
        <v>16471.388704564044</v>
      </c>
      <c r="M58" s="22">
        <f t="shared" si="10"/>
        <v>15843.699191001251</v>
      </c>
      <c r="N58" s="22">
        <f t="shared" si="10"/>
        <v>15343.34455585141</v>
      </c>
    </row>
    <row r="59" spans="3:14">
      <c r="J59" s="6"/>
      <c r="K59" s="6"/>
      <c r="L59" s="6"/>
      <c r="M59" s="6"/>
      <c r="N59" s="6"/>
    </row>
    <row r="60" spans="3:14" ht="15.75">
      <c r="C60" s="23" t="s">
        <v>68</v>
      </c>
      <c r="J60" s="6"/>
      <c r="K60" s="6"/>
      <c r="L60" s="6"/>
      <c r="M60" s="6"/>
      <c r="N60" s="6"/>
    </row>
    <row r="61" spans="3:14">
      <c r="D61" t="s">
        <v>69</v>
      </c>
      <c r="J61" s="6"/>
      <c r="K61" s="6"/>
      <c r="L61" s="6"/>
      <c r="M61" s="6"/>
      <c r="N61" s="6"/>
    </row>
    <row r="62" spans="3:14">
      <c r="E62" t="s">
        <v>70</v>
      </c>
      <c r="J62" s="6"/>
      <c r="K62" s="6"/>
      <c r="L62" s="6"/>
      <c r="M62" s="6"/>
      <c r="N62" s="6"/>
    </row>
    <row r="63" spans="3:14">
      <c r="F63" t="s">
        <v>71</v>
      </c>
      <c r="G63" s="6" cm="1">
        <f t="array" ref="G63:I63">+H.COGS*(P.H.Accounts.Payable/365)</f>
        <v>963.50383561643844</v>
      </c>
      <c r="H63" s="6">
        <v>948.17095890410951</v>
      </c>
      <c r="I63" s="6">
        <v>999.07972602739733</v>
      </c>
      <c r="J63" s="6" cm="1">
        <f t="array" ref="J63:N63">+F.COGS*(P.F.Accounts.Payable/365)</f>
        <v>1002.5142180108503</v>
      </c>
      <c r="K63" s="6">
        <v>1020.9632486767023</v>
      </c>
      <c r="L63" s="6">
        <v>1043.9040737447144</v>
      </c>
      <c r="M63" s="6">
        <v>1060.5572850044509</v>
      </c>
      <c r="N63" s="6">
        <v>1079.992504238412</v>
      </c>
    </row>
    <row r="64" spans="3:14">
      <c r="F64" t="s">
        <v>29</v>
      </c>
      <c r="G64" s="30" cm="1">
        <f t="array" ref="G64:I64">H.Revenues*P.H.Accruds</f>
        <v>485.04</v>
      </c>
      <c r="H64" s="30">
        <v>487.36</v>
      </c>
      <c r="I64" s="30">
        <v>499.56</v>
      </c>
      <c r="J64" s="6" cm="1">
        <f t="array" ref="J64:N64">f.revenues*P.F.Accruds</f>
        <v>507.04463996924505</v>
      </c>
      <c r="K64" s="6">
        <v>517.19844519544711</v>
      </c>
      <c r="L64" s="6">
        <v>526.25612107376696</v>
      </c>
      <c r="M64" s="6">
        <v>536.13577923104037</v>
      </c>
      <c r="N64" s="6">
        <v>545.86532372832994</v>
      </c>
    </row>
    <row r="65" spans="3:14">
      <c r="F65" t="s">
        <v>72</v>
      </c>
      <c r="G65" cm="1">
        <f t="array" ref="G65:I65">D.H.STDebt</f>
        <v>250</v>
      </c>
      <c r="H65">
        <v>700</v>
      </c>
      <c r="I65">
        <v>300</v>
      </c>
      <c r="J65" s="6" cm="1">
        <f t="array" ref="J65:N65">D.F.STDebt</f>
        <v>250</v>
      </c>
      <c r="K65" s="6">
        <v>250</v>
      </c>
      <c r="L65" s="6">
        <v>250</v>
      </c>
      <c r="M65" s="6">
        <v>250</v>
      </c>
      <c r="N65" s="6">
        <v>250</v>
      </c>
    </row>
    <row r="66" spans="3:14">
      <c r="E66" t="s">
        <v>73</v>
      </c>
      <c r="G66" s="18">
        <f>SUM(G63:G65)</f>
        <v>1698.5438356164384</v>
      </c>
      <c r="H66" s="18">
        <f t="shared" ref="H66:N66" si="11">SUM(H63:H65)</f>
        <v>2135.5309589041094</v>
      </c>
      <c r="I66" s="18">
        <f t="shared" si="11"/>
        <v>1798.6397260273973</v>
      </c>
      <c r="J66" s="18">
        <f t="shared" si="11"/>
        <v>1759.5588579800954</v>
      </c>
      <c r="K66" s="18">
        <f t="shared" si="11"/>
        <v>1788.1616938721495</v>
      </c>
      <c r="L66" s="18">
        <f t="shared" si="11"/>
        <v>1820.1601948184814</v>
      </c>
      <c r="M66" s="18">
        <f t="shared" si="11"/>
        <v>1846.6930642354914</v>
      </c>
      <c r="N66" s="18">
        <f t="shared" si="11"/>
        <v>1875.857827966742</v>
      </c>
    </row>
    <row r="67" spans="3:14">
      <c r="J67" s="6"/>
      <c r="K67" s="6"/>
      <c r="L67" s="6"/>
      <c r="M67" s="6"/>
      <c r="N67" s="6"/>
    </row>
    <row r="68" spans="3:14">
      <c r="E68" t="s">
        <v>74</v>
      </c>
      <c r="J68" s="6"/>
      <c r="K68" s="6"/>
      <c r="L68" s="6"/>
      <c r="M68" s="6"/>
      <c r="N68" s="6"/>
    </row>
    <row r="69" spans="3:14">
      <c r="F69" t="s">
        <v>75</v>
      </c>
      <c r="G69" s="6" cm="1">
        <f t="array" ref="G69:I69">+D.H.LTDebt</f>
        <v>6250</v>
      </c>
      <c r="H69" s="6">
        <v>5550</v>
      </c>
      <c r="I69" s="6">
        <v>5250</v>
      </c>
      <c r="J69" s="6" cm="1">
        <f t="array" ref="J69:N69">D.F.LTDEBT</f>
        <v>5000</v>
      </c>
      <c r="K69" s="6">
        <v>4750</v>
      </c>
      <c r="L69" s="6">
        <v>4500</v>
      </c>
      <c r="M69" s="6">
        <v>4250</v>
      </c>
      <c r="N69" s="6">
        <v>4000</v>
      </c>
    </row>
    <row r="70" spans="3:14">
      <c r="F70" t="s">
        <v>76</v>
      </c>
      <c r="G70" s="6">
        <v>1000</v>
      </c>
      <c r="H70" s="6">
        <f>+G70</f>
        <v>1000</v>
      </c>
      <c r="I70" s="6">
        <f>+H70</f>
        <v>1000</v>
      </c>
      <c r="J70" s="6">
        <f t="shared" ref="J70:N70" si="12">+I70</f>
        <v>1000</v>
      </c>
      <c r="K70" s="6">
        <f t="shared" si="12"/>
        <v>1000</v>
      </c>
      <c r="L70" s="6">
        <f t="shared" si="12"/>
        <v>1000</v>
      </c>
      <c r="M70" s="6">
        <f t="shared" si="12"/>
        <v>1000</v>
      </c>
      <c r="N70" s="6">
        <f t="shared" si="12"/>
        <v>1000</v>
      </c>
    </row>
    <row r="71" spans="3:14">
      <c r="E71" t="s">
        <v>77</v>
      </c>
      <c r="G71" s="18">
        <f>SUM(G69:G70)</f>
        <v>7250</v>
      </c>
      <c r="H71" s="18">
        <f t="shared" ref="H71:I71" si="13">SUM(H69:H70)</f>
        <v>6550</v>
      </c>
      <c r="I71" s="18">
        <f t="shared" si="13"/>
        <v>6250</v>
      </c>
      <c r="J71" s="18">
        <f t="shared" ref="J71:N71" si="14">SUM(J69:J70)</f>
        <v>6000</v>
      </c>
      <c r="K71" s="18">
        <f t="shared" si="14"/>
        <v>5750</v>
      </c>
      <c r="L71" s="18">
        <f t="shared" si="14"/>
        <v>5500</v>
      </c>
      <c r="M71" s="18">
        <f t="shared" si="14"/>
        <v>5250</v>
      </c>
      <c r="N71" s="18">
        <f t="shared" si="14"/>
        <v>5000</v>
      </c>
    </row>
    <row r="72" spans="3:14">
      <c r="D72" t="s">
        <v>78</v>
      </c>
      <c r="G72" s="18" cm="1">
        <f t="array" ref="G72:I72">+G66:I66+G71:I71</f>
        <v>8948.5438356164377</v>
      </c>
      <c r="H72" s="18">
        <v>8685.5309589041099</v>
      </c>
      <c r="I72" s="18">
        <v>8048.639726027397</v>
      </c>
      <c r="J72" s="16" cm="1">
        <f t="array" ref="J72:N72">+J66:N66+J71:N71</f>
        <v>7759.5588579800951</v>
      </c>
      <c r="K72" s="16">
        <v>7538.161693872149</v>
      </c>
      <c r="L72" s="16">
        <v>7320.1601948184816</v>
      </c>
      <c r="M72" s="16">
        <v>7096.693064235491</v>
      </c>
      <c r="N72" s="16">
        <v>6875.8578279667418</v>
      </c>
    </row>
    <row r="73" spans="3:14">
      <c r="J73" s="6"/>
      <c r="K73" s="6"/>
      <c r="L73" s="6"/>
      <c r="M73" s="6"/>
      <c r="N73" s="6"/>
    </row>
    <row r="74" spans="3:14">
      <c r="D74" t="s">
        <v>79</v>
      </c>
      <c r="J74" s="6"/>
      <c r="K74" s="6"/>
      <c r="L74" s="6"/>
      <c r="M74" s="6"/>
      <c r="N74" s="6"/>
    </row>
    <row r="75" spans="3:14">
      <c r="E75" t="s">
        <v>80</v>
      </c>
      <c r="G75" s="6">
        <v>1500</v>
      </c>
      <c r="H75" s="6">
        <f>+G75</f>
        <v>1500</v>
      </c>
      <c r="I75" s="6">
        <f>+H75</f>
        <v>1500</v>
      </c>
      <c r="J75" s="6">
        <f t="shared" ref="J75:N75" si="15">+I75</f>
        <v>1500</v>
      </c>
      <c r="K75" s="6">
        <f t="shared" si="15"/>
        <v>1500</v>
      </c>
      <c r="L75" s="6">
        <f t="shared" si="15"/>
        <v>1500</v>
      </c>
      <c r="M75" s="6">
        <f t="shared" si="15"/>
        <v>1500</v>
      </c>
      <c r="N75" s="6">
        <f t="shared" si="15"/>
        <v>1500</v>
      </c>
    </row>
    <row r="76" spans="3:14">
      <c r="E76" t="s">
        <v>81</v>
      </c>
      <c r="G76" s="6">
        <v>3500</v>
      </c>
      <c r="H76" s="6">
        <v>3500</v>
      </c>
      <c r="I76" s="6">
        <v>3500</v>
      </c>
      <c r="J76" s="6">
        <v>3500</v>
      </c>
      <c r="K76" s="6">
        <v>3500</v>
      </c>
      <c r="L76" s="6">
        <v>3500</v>
      </c>
      <c r="M76" s="6">
        <v>3500</v>
      </c>
      <c r="N76" s="6">
        <v>3500</v>
      </c>
    </row>
    <row r="77" spans="3:14">
      <c r="E77" t="s">
        <v>82</v>
      </c>
      <c r="G77" s="6">
        <f>-Start.Treasury</f>
        <v>-500</v>
      </c>
      <c r="H77" s="6">
        <f>+G77-Parameters!H29</f>
        <v>-750</v>
      </c>
      <c r="I77" s="6">
        <f>+H77-Parameters!I29</f>
        <v>-1000</v>
      </c>
      <c r="J77" s="6">
        <f>+I77-Parameters!J29</f>
        <v>-2500</v>
      </c>
      <c r="K77" s="6">
        <f>+J77-Parameters!K29</f>
        <v>-4000</v>
      </c>
      <c r="L77" s="6">
        <f>+K77-Parameters!L29</f>
        <v>-5500</v>
      </c>
      <c r="M77" s="6">
        <f>+L77-Parameters!M29</f>
        <v>-7000</v>
      </c>
      <c r="N77" s="6">
        <f>+M77-Parameters!N29</f>
        <v>-8500</v>
      </c>
    </row>
    <row r="78" spans="3:14">
      <c r="E78" t="s">
        <v>83</v>
      </c>
      <c r="G78" s="6">
        <f>Start.Retained.earnings</f>
        <v>1025.4318630136991</v>
      </c>
      <c r="H78" s="6">
        <f>G78+H38</f>
        <v>4134.3109830137</v>
      </c>
      <c r="I78" s="6">
        <f>H78+I38</f>
        <v>7119.9496530136985</v>
      </c>
      <c r="J78" s="6">
        <f t="shared" ref="J78:N78" si="16">I78+J38</f>
        <v>7842.1020316306322</v>
      </c>
      <c r="K78" s="6">
        <f t="shared" si="16"/>
        <v>8711.5245414900073</v>
      </c>
      <c r="L78" s="6">
        <f t="shared" si="16"/>
        <v>9651.228509745566</v>
      </c>
      <c r="M78" s="6">
        <f t="shared" si="16"/>
        <v>10747.006126765762</v>
      </c>
      <c r="N78" s="6">
        <f t="shared" si="16"/>
        <v>11967.48672788467</v>
      </c>
    </row>
    <row r="79" spans="3:14">
      <c r="D79" t="s">
        <v>84</v>
      </c>
      <c r="G79" s="15">
        <f>SUM(G75:G78)</f>
        <v>5525.4318630136986</v>
      </c>
      <c r="H79" s="15">
        <f t="shared" ref="H79:I79" si="17">SUM(H75:H78)</f>
        <v>8384.3109830137</v>
      </c>
      <c r="I79" s="15">
        <f t="shared" si="17"/>
        <v>11119.949653013698</v>
      </c>
      <c r="J79" s="15">
        <f t="shared" ref="J79:N79" si="18">SUM(J75:J78)</f>
        <v>10342.102031630631</v>
      </c>
      <c r="K79" s="15">
        <f t="shared" si="18"/>
        <v>9711.5245414900073</v>
      </c>
      <c r="L79" s="15">
        <f t="shared" si="18"/>
        <v>9151.228509745566</v>
      </c>
      <c r="M79" s="15">
        <f t="shared" si="18"/>
        <v>8747.006126765762</v>
      </c>
      <c r="N79" s="15">
        <f t="shared" si="18"/>
        <v>8467.4867278846705</v>
      </c>
    </row>
    <row r="80" spans="3:14">
      <c r="C80" t="s">
        <v>85</v>
      </c>
      <c r="G80" s="33" cm="1">
        <f t="array" ref="G80:I80">+_xlfn.ANCHORARRAY(G72)+G79:I79</f>
        <v>14473.975698630136</v>
      </c>
      <c r="H80" s="34">
        <v>17069.84194191781</v>
      </c>
      <c r="I80" s="34">
        <v>19168.589379041096</v>
      </c>
      <c r="J80" s="34" cm="1">
        <f t="array" ref="J80:N80">+_xlfn.ANCHORARRAY(J72)+F.Equity</f>
        <v>18101.660889610728</v>
      </c>
      <c r="K80" s="34">
        <v>17249.686235362155</v>
      </c>
      <c r="L80" s="34">
        <v>16471.388704564048</v>
      </c>
      <c r="M80" s="34">
        <v>15843.699191001253</v>
      </c>
      <c r="N80" s="34">
        <v>15343.344555851412</v>
      </c>
    </row>
    <row r="81" spans="2:14">
      <c r="J81" s="6"/>
      <c r="K81" s="6"/>
      <c r="L81" s="6"/>
      <c r="M81" s="6"/>
      <c r="N81" s="6"/>
    </row>
    <row r="82" spans="2:14">
      <c r="C82" t="s">
        <v>86</v>
      </c>
      <c r="G82" s="35" cm="1">
        <f t="array" ref="G82:I82">H.Assets-H.Capital</f>
        <v>0</v>
      </c>
      <c r="H82" s="6">
        <v>0</v>
      </c>
      <c r="I82" s="6">
        <v>0</v>
      </c>
      <c r="J82" s="6" cm="1">
        <f t="array" ref="J82:N82">F.Assets-f.Capital</f>
        <v>0</v>
      </c>
      <c r="K82" s="6">
        <v>0</v>
      </c>
      <c r="L82" s="6">
        <v>0</v>
      </c>
      <c r="M82" s="6">
        <v>0</v>
      </c>
      <c r="N82" s="6">
        <v>0</v>
      </c>
    </row>
    <row r="83" spans="2:14">
      <c r="J83" s="6"/>
      <c r="K83" s="6"/>
      <c r="L83" s="6"/>
      <c r="M83" s="6"/>
      <c r="N83" s="6"/>
    </row>
    <row r="84" spans="2:14">
      <c r="J84" s="6"/>
      <c r="K84" s="6"/>
      <c r="L84" s="6"/>
      <c r="M84" s="6"/>
      <c r="N84" s="6"/>
    </row>
    <row r="85" spans="2:14" ht="21">
      <c r="B85" s="24" t="s">
        <v>87</v>
      </c>
      <c r="G85" s="8" cm="1">
        <f t="array" ref="G85:I85">_xlfn.ANCHORARRAY(years)</f>
        <v>2025</v>
      </c>
      <c r="H85" s="8">
        <v>2026</v>
      </c>
      <c r="I85" s="8">
        <v>2027</v>
      </c>
      <c r="J85" s="36" cm="1">
        <f t="array" ref="J85:N85">_xlfn.SEQUENCE(1,5,I85+1)</f>
        <v>2028</v>
      </c>
      <c r="K85" s="36">
        <v>2029</v>
      </c>
      <c r="L85" s="36">
        <v>2030</v>
      </c>
      <c r="M85" s="36">
        <v>2031</v>
      </c>
      <c r="N85" s="36">
        <v>2032</v>
      </c>
    </row>
    <row r="86" spans="2:14">
      <c r="C86" t="s">
        <v>88</v>
      </c>
      <c r="J86" s="6"/>
      <c r="K86" s="6"/>
      <c r="L86" s="6"/>
      <c r="M86" s="6"/>
      <c r="N86" s="6"/>
    </row>
    <row r="87" spans="2:14">
      <c r="D87" t="s">
        <v>48</v>
      </c>
      <c r="G87" s="6" cm="1">
        <f t="array" ref="G87:I87">+H.Net.Income</f>
        <v>3248.9200299999993</v>
      </c>
      <c r="H87" s="6">
        <v>3458.8791200000005</v>
      </c>
      <c r="I87" s="6">
        <v>3360.6386699999985</v>
      </c>
      <c r="J87" s="6" cm="1">
        <f t="array" ref="J87:N87">+F.Net.Income</f>
        <v>3572.1523786169337</v>
      </c>
      <c r="K87" s="6">
        <v>3719.4225098593752</v>
      </c>
      <c r="L87" s="6">
        <v>3789.7039682555587</v>
      </c>
      <c r="M87" s="6">
        <v>3945.7776170201969</v>
      </c>
      <c r="N87" s="6">
        <v>4070.4806011189089</v>
      </c>
    </row>
    <row r="88" spans="2:14">
      <c r="D88" t="s">
        <v>89</v>
      </c>
      <c r="J88" s="6"/>
      <c r="K88" s="6"/>
      <c r="L88" s="6"/>
      <c r="M88" s="6"/>
      <c r="N88" s="6"/>
    </row>
    <row r="89" spans="2:14">
      <c r="E89" t="s">
        <v>90</v>
      </c>
      <c r="H89" s="6" cm="1">
        <f t="array" ref="H89:I89">_xlfn.TAKE(P.H.Depreciation,1,-2)</f>
        <v>2500</v>
      </c>
      <c r="I89" s="6">
        <v>2500</v>
      </c>
      <c r="J89" s="6" cm="1">
        <f t="array" ref="J89:N89">_xlfn.TAKE(P.F.Depreciation,1,-5)</f>
        <v>2500</v>
      </c>
      <c r="K89" s="6">
        <v>2500</v>
      </c>
      <c r="L89" s="6">
        <v>2500</v>
      </c>
      <c r="M89" s="6">
        <v>2500</v>
      </c>
      <c r="N89" s="6">
        <v>2500</v>
      </c>
    </row>
    <row r="90" spans="2:14">
      <c r="E90" t="s">
        <v>91</v>
      </c>
      <c r="H90" cm="1">
        <f t="array" ref="H90:I90">_xlfn.TAKE(P.H.Amorization,1,-2)</f>
        <v>250</v>
      </c>
      <c r="I90">
        <v>250</v>
      </c>
      <c r="J90" s="6" cm="1">
        <f t="array" ref="J90:N90">+_xlfn.TAKE(P.F.Amorization,1,-5)</f>
        <v>250</v>
      </c>
      <c r="K90" s="6">
        <v>250</v>
      </c>
      <c r="L90" s="6">
        <v>250</v>
      </c>
      <c r="M90" s="6">
        <v>250</v>
      </c>
      <c r="N90" s="6">
        <v>250</v>
      </c>
    </row>
    <row r="91" spans="2:14">
      <c r="D91" t="s">
        <v>92</v>
      </c>
      <c r="J91" s="6"/>
      <c r="K91" s="6"/>
      <c r="L91" s="6"/>
      <c r="M91" s="6"/>
      <c r="N91" s="6"/>
    </row>
    <row r="92" spans="2:14">
      <c r="E92" s="26" t="s">
        <v>55</v>
      </c>
      <c r="F92" s="26"/>
      <c r="G92" s="26"/>
      <c r="H92" s="27">
        <f>+G45-H45</f>
        <v>-343.34246575342468</v>
      </c>
      <c r="I92" s="27">
        <f t="shared" ref="H92:I94" si="19">+H45-I45</f>
        <v>215.23835616438373</v>
      </c>
      <c r="J92" s="27">
        <f t="shared" ref="J92:J94" si="20">+I45-J45</f>
        <v>-170.70042725823123</v>
      </c>
      <c r="K92" s="27">
        <f t="shared" ref="K92:K94" si="21">+J45-K45</f>
        <v>24.948338730243449</v>
      </c>
      <c r="L92" s="27">
        <f t="shared" ref="L92:L94" si="22">+K45-L45</f>
        <v>-75.749820362070295</v>
      </c>
      <c r="M92" s="27">
        <f t="shared" ref="M92:M94" si="23">+L45-M45</f>
        <v>-25.623965110085919</v>
      </c>
      <c r="N92" s="27">
        <f t="shared" ref="N92:N94" si="24">+M45-N45</f>
        <v>-52.33027061693565</v>
      </c>
    </row>
    <row r="93" spans="2:14">
      <c r="E93" s="26" t="s">
        <v>93</v>
      </c>
      <c r="F93" s="26"/>
      <c r="G93" s="26"/>
      <c r="H93" s="27">
        <f t="shared" si="19"/>
        <v>-15.761726027397117</v>
      </c>
      <c r="I93" s="27">
        <f t="shared" si="19"/>
        <v>-21.00002739726051</v>
      </c>
      <c r="J93" s="27">
        <f t="shared" si="20"/>
        <v>-20.25754534974908</v>
      </c>
      <c r="K93" s="27">
        <f t="shared" si="21"/>
        <v>-10.863455126838517</v>
      </c>
      <c r="L93" s="27">
        <f t="shared" si="22"/>
        <v>-28.246293086448759</v>
      </c>
      <c r="M93" s="27">
        <f t="shared" si="23"/>
        <v>-15.206989098715439</v>
      </c>
      <c r="N93" s="27">
        <f t="shared" si="24"/>
        <v>-21.410502267361835</v>
      </c>
    </row>
    <row r="94" spans="2:14">
      <c r="E94" s="26" t="s">
        <v>57</v>
      </c>
      <c r="F94" s="26"/>
      <c r="G94" s="26"/>
      <c r="H94" s="27">
        <f t="shared" si="19"/>
        <v>-2.3199999999999932</v>
      </c>
      <c r="I94" s="27">
        <f t="shared" si="19"/>
        <v>-12.199999999999989</v>
      </c>
      <c r="J94" s="27">
        <f t="shared" si="20"/>
        <v>-7.4846399692450518</v>
      </c>
      <c r="K94" s="27">
        <f t="shared" si="21"/>
        <v>-10.153805226202053</v>
      </c>
      <c r="L94" s="27">
        <f t="shared" si="22"/>
        <v>-9.0576758783198557</v>
      </c>
      <c r="M94" s="27">
        <f t="shared" si="23"/>
        <v>-9.8796581572734112</v>
      </c>
      <c r="N94" s="27">
        <f t="shared" si="24"/>
        <v>-9.7295444972895666</v>
      </c>
    </row>
    <row r="95" spans="2:14">
      <c r="E95" s="25" t="s">
        <v>71</v>
      </c>
      <c r="F95" s="25"/>
      <c r="G95" s="25"/>
      <c r="H95" s="28">
        <f>+H63-G63</f>
        <v>-15.332876712328925</v>
      </c>
      <c r="I95" s="28">
        <f>+I63-H63</f>
        <v>50.908767123287817</v>
      </c>
      <c r="J95" s="28">
        <f t="shared" ref="J95:N95" si="25">+J63-I63</f>
        <v>3.4344919834529719</v>
      </c>
      <c r="K95" s="28">
        <f t="shared" si="25"/>
        <v>18.449030665851978</v>
      </c>
      <c r="L95" s="28">
        <f t="shared" si="25"/>
        <v>22.940825068012145</v>
      </c>
      <c r="M95" s="28">
        <f t="shared" si="25"/>
        <v>16.653211259736509</v>
      </c>
      <c r="N95" s="28">
        <f t="shared" si="25"/>
        <v>19.435219233961107</v>
      </c>
    </row>
    <row r="96" spans="2:14">
      <c r="E96" s="25" t="s">
        <v>29</v>
      </c>
      <c r="F96" s="25"/>
      <c r="G96" s="25"/>
      <c r="H96" s="28">
        <f>+H64-G64</f>
        <v>2.3199999999999932</v>
      </c>
      <c r="I96" s="28">
        <f>+I64-H64</f>
        <v>12.199999999999989</v>
      </c>
      <c r="J96" s="28">
        <f t="shared" ref="J96:N96" si="26">+J64-I64</f>
        <v>7.4846399692450518</v>
      </c>
      <c r="K96" s="28">
        <f t="shared" si="26"/>
        <v>10.153805226202053</v>
      </c>
      <c r="L96" s="28">
        <f>+L64-K64</f>
        <v>9.0576758783198557</v>
      </c>
      <c r="M96" s="28">
        <f t="shared" si="26"/>
        <v>9.8796581572734112</v>
      </c>
      <c r="N96" s="28">
        <f t="shared" si="26"/>
        <v>9.7295444972895666</v>
      </c>
    </row>
    <row r="97" spans="3:14">
      <c r="D97" t="s">
        <v>94</v>
      </c>
      <c r="G97" s="6"/>
      <c r="H97" s="16">
        <f>SUM(H87:H96)</f>
        <v>5834.4420515068505</v>
      </c>
      <c r="I97" s="16">
        <f>SUM(I87:I96)</f>
        <v>6355.7857658904095</v>
      </c>
      <c r="J97" s="16">
        <f t="shared" ref="J97:N97" si="27">SUM(J87:J96)</f>
        <v>6134.6288979924057</v>
      </c>
      <c r="K97" s="16">
        <f t="shared" si="27"/>
        <v>6501.9564241286316</v>
      </c>
      <c r="L97" s="16">
        <f t="shared" si="27"/>
        <v>6458.6486798750511</v>
      </c>
      <c r="M97" s="16">
        <f t="shared" si="27"/>
        <v>6671.5998740711311</v>
      </c>
      <c r="N97" s="16">
        <f t="shared" si="27"/>
        <v>6766.1750474685714</v>
      </c>
    </row>
    <row r="98" spans="3:14">
      <c r="J98" s="6"/>
      <c r="K98" s="6"/>
      <c r="L98" s="6"/>
      <c r="M98" s="6"/>
      <c r="N98" s="6"/>
    </row>
    <row r="99" spans="3:14">
      <c r="D99" t="s">
        <v>95</v>
      </c>
      <c r="J99" s="6"/>
      <c r="K99" s="6"/>
      <c r="L99" s="6"/>
      <c r="M99" s="6"/>
      <c r="N99" s="6"/>
    </row>
    <row r="100" spans="3:14">
      <c r="E100" t="s">
        <v>96</v>
      </c>
      <c r="G100" s="6"/>
      <c r="H100" s="6" cm="1">
        <f t="array" ref="H100:I100">_xlfn.TAKE(-P.H.CapEx,1,-2)</f>
        <v>-3000</v>
      </c>
      <c r="I100" s="6">
        <v>-3000</v>
      </c>
      <c r="J100" s="6" cm="1">
        <f t="array" ref="J100:N100">+_xlfn.TAKE(-P.F.CapEx,1,-5)</f>
        <v>-3000</v>
      </c>
      <c r="K100" s="6">
        <v>-3000</v>
      </c>
      <c r="L100" s="6">
        <v>-3000</v>
      </c>
      <c r="M100" s="6">
        <v>-3000</v>
      </c>
      <c r="N100" s="6">
        <v>-3000</v>
      </c>
    </row>
    <row r="101" spans="3:14">
      <c r="E101" t="s">
        <v>97</v>
      </c>
      <c r="J101" s="6"/>
      <c r="K101" s="6"/>
      <c r="L101" s="6"/>
      <c r="M101" s="6"/>
      <c r="N101" s="6"/>
    </row>
    <row r="102" spans="3:14">
      <c r="D102" t="s">
        <v>98</v>
      </c>
      <c r="H102" s="18">
        <f>SUM(H100:H101)</f>
        <v>-3000</v>
      </c>
      <c r="I102" s="18">
        <f t="shared" ref="I102:N102" si="28">SUM(I100:I101)</f>
        <v>-3000</v>
      </c>
      <c r="J102" s="18">
        <f t="shared" si="28"/>
        <v>-3000</v>
      </c>
      <c r="K102" s="18">
        <f t="shared" si="28"/>
        <v>-3000</v>
      </c>
      <c r="L102" s="18">
        <f t="shared" si="28"/>
        <v>-3000</v>
      </c>
      <c r="M102" s="18">
        <f t="shared" si="28"/>
        <v>-3000</v>
      </c>
      <c r="N102" s="18">
        <f t="shared" si="28"/>
        <v>-3000</v>
      </c>
    </row>
    <row r="103" spans="3:14">
      <c r="J103" s="6"/>
      <c r="K103" s="6"/>
      <c r="L103" s="6"/>
      <c r="M103" s="6"/>
      <c r="N103" s="6"/>
    </row>
    <row r="104" spans="3:14">
      <c r="D104" t="s">
        <v>99</v>
      </c>
      <c r="J104" s="6"/>
      <c r="K104" s="6"/>
      <c r="L104" s="6"/>
      <c r="M104" s="6"/>
      <c r="N104" s="6"/>
    </row>
    <row r="105" spans="3:14">
      <c r="E105" t="s">
        <v>100</v>
      </c>
      <c r="H105" s="6">
        <f>+'Debt Schedule'!H8-'Debt Schedule'!G8</f>
        <v>-250</v>
      </c>
      <c r="I105" s="6">
        <f>+'Debt Schedule'!I8-'Debt Schedule'!H8</f>
        <v>-700</v>
      </c>
      <c r="J105" s="6">
        <f>+'Debt Schedule'!J8-'Debt Schedule'!I8</f>
        <v>-300</v>
      </c>
      <c r="K105" s="6">
        <f>+'Debt Schedule'!K8-'Debt Schedule'!J8</f>
        <v>-250</v>
      </c>
      <c r="L105" s="6">
        <f>+'Debt Schedule'!L8-'Debt Schedule'!K8</f>
        <v>-250</v>
      </c>
      <c r="M105" s="6">
        <f>+'Debt Schedule'!M8-'Debt Schedule'!L8</f>
        <v>-250</v>
      </c>
      <c r="N105" s="6">
        <f>+'Debt Schedule'!N8-'Debt Schedule'!M8</f>
        <v>-250</v>
      </c>
    </row>
    <row r="106" spans="3:14">
      <c r="E106" t="s">
        <v>101</v>
      </c>
      <c r="H106" s="15">
        <f>+H76-G76</f>
        <v>0</v>
      </c>
      <c r="I106" s="15">
        <f>+I76-H76</f>
        <v>0</v>
      </c>
      <c r="J106" s="15">
        <f t="shared" ref="J106:N106" si="29">+J76-I76</f>
        <v>0</v>
      </c>
      <c r="K106" s="15">
        <f t="shared" si="29"/>
        <v>0</v>
      </c>
      <c r="L106" s="15">
        <f t="shared" si="29"/>
        <v>0</v>
      </c>
      <c r="M106" s="15">
        <f t="shared" si="29"/>
        <v>0</v>
      </c>
      <c r="N106" s="15">
        <f t="shared" si="29"/>
        <v>0</v>
      </c>
    </row>
    <row r="107" spans="3:14">
      <c r="E107" t="s">
        <v>102</v>
      </c>
      <c r="H107" s="6" cm="1">
        <f t="array" ref="H107:I107">-_xlfn.TAKE(P.H.Buybacks,1,-2)</f>
        <v>-250</v>
      </c>
      <c r="I107" s="6">
        <v>-250</v>
      </c>
      <c r="J107" s="6" cm="1">
        <f t="array" ref="J107:N107">-_xlfn.TAKE(P.F.Buybacks,1,-5)</f>
        <v>-1500</v>
      </c>
      <c r="K107" s="6">
        <v>-1500</v>
      </c>
      <c r="L107" s="6">
        <v>-1500</v>
      </c>
      <c r="M107" s="6">
        <v>-1500</v>
      </c>
      <c r="N107" s="6">
        <v>-1500</v>
      </c>
    </row>
    <row r="108" spans="3:14">
      <c r="E108" t="s">
        <v>20</v>
      </c>
      <c r="H108" s="6" cm="1">
        <f t="array" ref="H108:I108">-_xlfn.TAKE(P.H.Dividends,1,-2)</f>
        <v>-350</v>
      </c>
      <c r="I108" s="6">
        <v>-375</v>
      </c>
      <c r="J108" s="6" cm="1">
        <f t="array" ref="J108:N108">-_xlfn.TAKE(P.F.Dividends,1,-5)</f>
        <v>-2850</v>
      </c>
      <c r="K108" s="6">
        <v>-2850</v>
      </c>
      <c r="L108" s="6">
        <v>-2850</v>
      </c>
      <c r="M108" s="6">
        <v>-2850</v>
      </c>
      <c r="N108" s="6">
        <v>-2850</v>
      </c>
    </row>
    <row r="109" spans="3:14">
      <c r="D109" t="s">
        <v>103</v>
      </c>
      <c r="H109" s="18">
        <f>SUM(H105:H108)</f>
        <v>-850</v>
      </c>
      <c r="I109" s="18">
        <f>SUM(I105:I108)</f>
        <v>-1325</v>
      </c>
      <c r="J109" s="18">
        <f t="shared" ref="J109:N109" si="30">SUM(J105:J108)</f>
        <v>-4650</v>
      </c>
      <c r="K109" s="18">
        <f t="shared" si="30"/>
        <v>-4600</v>
      </c>
      <c r="L109" s="18">
        <f t="shared" si="30"/>
        <v>-4600</v>
      </c>
      <c r="M109" s="18">
        <f t="shared" si="30"/>
        <v>-4600</v>
      </c>
      <c r="N109" s="18">
        <f t="shared" si="30"/>
        <v>-4600</v>
      </c>
    </row>
    <row r="110" spans="3:14">
      <c r="J110" s="6"/>
      <c r="K110" s="6"/>
      <c r="L110" s="6"/>
      <c r="M110" s="6"/>
      <c r="N110" s="6"/>
    </row>
    <row r="111" spans="3:14" ht="15" thickBot="1">
      <c r="C111" t="s">
        <v>104</v>
      </c>
      <c r="H111" s="29" cm="1">
        <f t="array" ref="H111:I111">H.Cash.Financing+H.Cash.Investment+H.Cash.Ops</f>
        <v>1984.4420515068505</v>
      </c>
      <c r="I111" s="29">
        <v>2030.7857658904095</v>
      </c>
      <c r="J111" s="29" cm="1">
        <f t="array" ref="J111:N111">F.Cash.Financing+F.Cash.Investment+F.Cash.Ops</f>
        <v>-1515.3711020075943</v>
      </c>
      <c r="K111" s="6">
        <v>-1098.0435758713684</v>
      </c>
      <c r="L111" s="6">
        <v>-1141.3513201249489</v>
      </c>
      <c r="M111" s="6">
        <v>-928.40012592886887</v>
      </c>
      <c r="N111" s="6">
        <v>-833.82495253142861</v>
      </c>
    </row>
    <row r="112" spans="3:14" ht="15" thickTop="1">
      <c r="C112" t="s">
        <v>105</v>
      </c>
      <c r="G112" s="6"/>
      <c r="H112" s="6">
        <f>+G113</f>
        <v>3500</v>
      </c>
      <c r="I112" s="6">
        <f>+H113</f>
        <v>5484.4420515068505</v>
      </c>
      <c r="J112" s="6">
        <f t="shared" ref="J112:N112" si="31">+I113</f>
        <v>7515.22781739726</v>
      </c>
      <c r="K112" s="6">
        <f t="shared" si="31"/>
        <v>5999.8567153896656</v>
      </c>
      <c r="L112" s="6">
        <f t="shared" si="31"/>
        <v>4901.8131395182972</v>
      </c>
      <c r="M112" s="6">
        <f t="shared" si="31"/>
        <v>3760.4618193933484</v>
      </c>
      <c r="N112" s="6">
        <f t="shared" si="31"/>
        <v>2832.0616934644795</v>
      </c>
    </row>
    <row r="113" spans="3:14">
      <c r="C113" t="s">
        <v>106</v>
      </c>
      <c r="G113" s="16">
        <f>+starting.cash</f>
        <v>3500</v>
      </c>
      <c r="H113" s="16">
        <f>SUM(H111:H112)</f>
        <v>5484.4420515068505</v>
      </c>
      <c r="I113" s="16">
        <f>SUM(I111:I112)</f>
        <v>7515.22781739726</v>
      </c>
      <c r="J113" s="16">
        <f t="shared" ref="J113:N113" si="32">SUM(J111:J112)</f>
        <v>5999.8567153896656</v>
      </c>
      <c r="K113" s="16">
        <f t="shared" si="32"/>
        <v>4901.8131395182972</v>
      </c>
      <c r="L113" s="16">
        <f t="shared" si="32"/>
        <v>3760.4618193933484</v>
      </c>
      <c r="M113" s="16">
        <f t="shared" si="32"/>
        <v>2832.0616934644795</v>
      </c>
      <c r="N113" s="16">
        <f t="shared" si="32"/>
        <v>1998.2367409330509</v>
      </c>
    </row>
  </sheetData>
  <conditionalFormatting sqref="G82:N82">
    <cfRule type="cellIs" dxfId="1" priority="1" operator="lessThan">
      <formula>0</formula>
    </cfRule>
    <cfRule type="cellIs" dxfId="0" priority="2" operator="greater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E7140-C51B-4FC9-8BF5-66A253740C65}">
  <sheetPr>
    <tabColor theme="8" tint="-0.249977111117893"/>
  </sheetPr>
  <dimension ref="A1:M496"/>
  <sheetViews>
    <sheetView tabSelected="1" zoomScaleNormal="100" workbookViewId="0">
      <selection activeCell="W85" sqref="W85"/>
    </sheetView>
  </sheetViews>
  <sheetFormatPr defaultRowHeight="14.25"/>
  <cols>
    <col min="1" max="5" width="1.42578125" customWidth="1"/>
    <col min="6" max="6" width="29.140625" customWidth="1"/>
    <col min="7" max="7" width="11" customWidth="1"/>
    <col min="8" max="8" width="10.28515625" customWidth="1"/>
    <col min="9" max="9" width="11.42578125" customWidth="1"/>
    <col min="10" max="13" width="9.5703125" bestFit="1" customWidth="1"/>
  </cols>
  <sheetData>
    <row r="1" spans="1:11" ht="23.25">
      <c r="A1" s="1" t="str">
        <f>"Discount Cash Flow Analysis for "&amp;Comapny.Name</f>
        <v>Discount Cash Flow Analysis for LeBronLiBerty Inc.</v>
      </c>
    </row>
    <row r="2" spans="1:11">
      <c r="B2" t="s">
        <v>107</v>
      </c>
    </row>
    <row r="3" spans="1:11">
      <c r="C3" t="s">
        <v>108</v>
      </c>
      <c r="G3" t="e" vm="1">
        <v>#VALUE!</v>
      </c>
    </row>
    <row r="4" spans="1:11">
      <c r="D4" t="s">
        <v>109</v>
      </c>
      <c r="G4" s="41" cm="1">
        <f t="array" aca="1" ref="G4" ca="1">+_FV(G3,"Price")</f>
        <v>12.43</v>
      </c>
    </row>
    <row r="5" spans="1:11">
      <c r="D5" t="s">
        <v>110</v>
      </c>
      <c r="G5" s="12" cm="1">
        <f t="array" aca="1" ref="G5" ca="1">_FV(G3,"Shares outstanding",TRUE)/1000000</f>
        <v>3987.596</v>
      </c>
    </row>
    <row r="6" spans="1:11">
      <c r="D6" t="s">
        <v>111</v>
      </c>
      <c r="G6" s="42" cm="1">
        <f t="array" aca="1" ref="G6" ca="1">+_FV(G3,"Market cap",TRUE)/1000000</f>
        <v>49565.81828</v>
      </c>
    </row>
    <row r="8" spans="1:11">
      <c r="C8" t="s">
        <v>112</v>
      </c>
      <c r="G8" t="s">
        <v>113</v>
      </c>
      <c r="H8" t="s">
        <v>114</v>
      </c>
      <c r="I8" t="s">
        <v>115</v>
      </c>
    </row>
    <row r="9" spans="1:11">
      <c r="D9" t="s">
        <v>116</v>
      </c>
      <c r="G9" s="6" cm="1">
        <f t="array" ref="G9">_xlfn.TAKE(D.H.Total.Debt,1,-1)</f>
        <v>5550</v>
      </c>
      <c r="H9" s="40" cm="1">
        <f t="array" ref="H9:H11">+G9:G11/G12</f>
        <v>0.33293441885090735</v>
      </c>
      <c r="I9" s="32" cm="1">
        <f t="array" ref="I9:K9">_xlfn.LET(
_xlpm.raw_interest,_xlfn.TAKE(D.H.Int.Expense,1,-1)/G9,
_xlpm.tax_shield,100%-Tax.Rate,
_xlpm.raw_interest*_xlpm.tax_shield
)</f>
        <v>4.958851351351351E-2</v>
      </c>
      <c r="J9" s="43">
        <v>4.958851351351351E-2</v>
      </c>
      <c r="K9" s="43">
        <v>4.958851351351351E-2</v>
      </c>
    </row>
    <row r="10" spans="1:11">
      <c r="D10" t="s">
        <v>80</v>
      </c>
      <c r="G10" s="6" cm="1">
        <f t="array" ref="G10">_xlfn.TAKE(H.Pref,1,-1)</f>
        <v>1500</v>
      </c>
      <c r="H10" s="40">
        <v>8.9982275365110095E-2</v>
      </c>
      <c r="I10" s="32">
        <v>7.3899999999999993E-2</v>
      </c>
    </row>
    <row r="11" spans="1:11">
      <c r="D11" t="s">
        <v>81</v>
      </c>
      <c r="G11" s="6" cm="1">
        <f t="array" ref="G11">_xlfn.TAKE(H.Equity,1,-1)-G10</f>
        <v>9619.9496530136985</v>
      </c>
      <c r="H11" s="40">
        <v>0.57708330578398259</v>
      </c>
      <c r="I11" s="32">
        <v>0.1171</v>
      </c>
    </row>
    <row r="12" spans="1:11">
      <c r="E12" t="s">
        <v>117</v>
      </c>
      <c r="G12" s="16">
        <f>SUM(G9:G11)</f>
        <v>16669.949653013697</v>
      </c>
    </row>
    <row r="13" spans="1:11">
      <c r="C13" t="s">
        <v>118</v>
      </c>
      <c r="G13" s="32">
        <f>SUMPRODUCT(_xlfn.ANCHORARRAY(H9),I9:I11)</f>
        <v>9.073586818508797E-2</v>
      </c>
    </row>
    <row r="15" spans="1:11">
      <c r="B15" t="s">
        <v>119</v>
      </c>
      <c r="G15" s="44" cm="1">
        <f t="array" ref="G15:K15">_xlfn.ANCHORARRAY(forecast.years)</f>
        <v>2028</v>
      </c>
      <c r="H15" s="44">
        <v>2029</v>
      </c>
      <c r="I15" s="44">
        <v>2030</v>
      </c>
      <c r="J15" s="44">
        <v>2031</v>
      </c>
      <c r="K15" s="44">
        <v>2032</v>
      </c>
    </row>
    <row r="16" spans="1:11">
      <c r="C16" t="s">
        <v>120</v>
      </c>
      <c r="G16" s="6" cm="1">
        <f t="array" ref="G16:K16">+_xlfn.ANCHORARRAY(G18)-_xlfn.ANCHORARRAY(G17)</f>
        <v>7602.8368716670047</v>
      </c>
      <c r="H16" s="6">
        <v>7774.8797593156651</v>
      </c>
      <c r="I16" s="6">
        <v>7849.4686307032389</v>
      </c>
      <c r="J16" s="6">
        <v>8032.6552114179703</v>
      </c>
      <c r="K16" s="6">
        <v>8176.1320900239352</v>
      </c>
    </row>
    <row r="17" spans="1:11">
      <c r="D17" t="s">
        <v>121</v>
      </c>
      <c r="G17" s="6" cm="1">
        <f t="array" ref="G17:K17">-P.F.Depreciation-P.F.Amorization</f>
        <v>-2750</v>
      </c>
      <c r="H17" s="6">
        <v>-2750</v>
      </c>
      <c r="I17" s="6">
        <v>-2750</v>
      </c>
      <c r="J17" s="6">
        <v>-2750</v>
      </c>
      <c r="K17" s="6">
        <v>-2750</v>
      </c>
    </row>
    <row r="18" spans="1:11">
      <c r="C18" t="s">
        <v>122</v>
      </c>
      <c r="G18" s="16" cm="1">
        <f t="array" ref="G18:K18">F.EBIT</f>
        <v>4852.8368716670047</v>
      </c>
      <c r="H18" s="16">
        <v>5024.8797593156651</v>
      </c>
      <c r="I18" s="16">
        <v>5099.4686307032389</v>
      </c>
      <c r="J18" s="16">
        <v>5282.6552114179703</v>
      </c>
      <c r="K18" s="16">
        <v>5426.1320900239352</v>
      </c>
    </row>
    <row r="19" spans="1:11">
      <c r="D19" t="s">
        <v>123</v>
      </c>
      <c r="G19" s="6" cm="1">
        <f t="array" ref="G19:K19">-_xlfn.ANCHORARRAY(G18)*tax.Rate.</f>
        <v>-1019.095743050071</v>
      </c>
      <c r="H19" s="6">
        <v>-1055.2247494562896</v>
      </c>
      <c r="I19" s="6">
        <v>-1070.8884124476801</v>
      </c>
      <c r="J19" s="6">
        <v>-1109.3575943977737</v>
      </c>
      <c r="K19" s="6">
        <v>-1139.4877389050264</v>
      </c>
    </row>
    <row r="20" spans="1:11">
      <c r="C20" t="s">
        <v>124</v>
      </c>
      <c r="G20" s="16">
        <f>SUM(G18:G19)</f>
        <v>3833.7411286169336</v>
      </c>
      <c r="H20" s="16">
        <f t="shared" ref="H20:J20" si="0">SUM(H18:H19)</f>
        <v>3969.6550098593752</v>
      </c>
      <c r="I20" s="16">
        <f t="shared" si="0"/>
        <v>4028.580218255559</v>
      </c>
      <c r="J20" s="16">
        <f t="shared" si="0"/>
        <v>4173.2976170201964</v>
      </c>
      <c r="K20" s="16">
        <f>SUM(K18:K19)</f>
        <v>4286.6443511189091</v>
      </c>
    </row>
    <row r="21" spans="1:11">
      <c r="D21" t="s">
        <v>125</v>
      </c>
    </row>
    <row r="22" spans="1:11">
      <c r="E22" t="s">
        <v>126</v>
      </c>
      <c r="G22" s="6" cm="1">
        <f t="array" ref="G22:K22">-_xlfn.ANCHORARRAY(G17)</f>
        <v>2750</v>
      </c>
      <c r="H22" s="6">
        <v>2750</v>
      </c>
      <c r="I22" s="6">
        <v>2750</v>
      </c>
      <c r="J22" s="6">
        <v>2750</v>
      </c>
      <c r="K22" s="6">
        <v>2750</v>
      </c>
    </row>
    <row r="23" spans="1:11">
      <c r="E23" t="s">
        <v>92</v>
      </c>
      <c r="G23" s="6">
        <f>SUM('Financial Statements'!J92:J96)</f>
        <v>-187.52348062452734</v>
      </c>
      <c r="H23" s="6">
        <f>SUM('Financial Statements'!K92:K96)</f>
        <v>32.533914269256911</v>
      </c>
      <c r="I23" s="6">
        <f>SUM('Financial Statements'!L92:L96)</f>
        <v>-81.055288380506909</v>
      </c>
      <c r="J23" s="6">
        <f>SUM('Financial Statements'!M92:M96)</f>
        <v>-24.17774294906485</v>
      </c>
      <c r="K23" s="6">
        <f>SUM('Financial Statements'!N92:N96)</f>
        <v>-54.305553650336378</v>
      </c>
    </row>
    <row r="24" spans="1:11">
      <c r="D24" t="s">
        <v>127</v>
      </c>
      <c r="G24" s="16" cm="1">
        <f t="array" ref="G24:K24">+G20:K20+_xlfn.ANCHORARRAY(G22)+G23:K23</f>
        <v>6396.2176479924065</v>
      </c>
      <c r="H24" s="16">
        <v>6752.1889241286317</v>
      </c>
      <c r="I24" s="16">
        <v>6697.5249298750523</v>
      </c>
      <c r="J24" s="16">
        <v>6899.1198740711316</v>
      </c>
      <c r="K24" s="16">
        <v>6982.3387974685729</v>
      </c>
    </row>
    <row r="25" spans="1:11">
      <c r="E25" t="s">
        <v>128</v>
      </c>
      <c r="G25" s="6" cm="1">
        <f t="array" ref="G25:K25">-P.F.CapEx</f>
        <v>-3000</v>
      </c>
      <c r="H25" s="6">
        <v>-3000</v>
      </c>
      <c r="I25" s="6">
        <v>-3000</v>
      </c>
      <c r="J25" s="6">
        <v>-3000</v>
      </c>
      <c r="K25" s="6">
        <v>-3000</v>
      </c>
    </row>
    <row r="26" spans="1:11">
      <c r="D26" t="s">
        <v>129</v>
      </c>
      <c r="G26" s="6" cm="1">
        <f t="array" ref="G26:K26">_xlfn.ANCHORARRAY(G24)+_xlfn.ANCHORARRAY(G25)</f>
        <v>3396.2176479924065</v>
      </c>
      <c r="H26" s="6">
        <v>3752.1889241286317</v>
      </c>
      <c r="I26" s="6">
        <v>3697.5249298750523</v>
      </c>
      <c r="J26" s="6">
        <v>3899.1198740711316</v>
      </c>
      <c r="K26" s="6">
        <v>3982.3387974685729</v>
      </c>
    </row>
    <row r="27" spans="1:11">
      <c r="E27" t="s">
        <v>130</v>
      </c>
      <c r="G27" s="31">
        <f>1/(1+WACC)^G101</f>
        <v>0.91681224498826974</v>
      </c>
      <c r="H27" s="31">
        <f>1/(1+WACC)^H101</f>
        <v>0.84054469256043107</v>
      </c>
      <c r="I27" s="31">
        <f>1/(1+WACC)^I101</f>
        <v>0.77062166659930365</v>
      </c>
      <c r="J27" s="31">
        <f>1/(1+WACC)^J101</f>
        <v>0.7065153801915095</v>
      </c>
      <c r="K27" s="31">
        <f>1/(1+WACC)^K101</f>
        <v>0.64774195183211869</v>
      </c>
    </row>
    <row r="28" spans="1:11">
      <c r="D28" t="s">
        <v>131</v>
      </c>
      <c r="G28" s="6">
        <f>SUMPRODUCT(unlev.FCF,Discount)</f>
        <v>14451.285301508542</v>
      </c>
    </row>
    <row r="30" spans="1:11" ht="21">
      <c r="A30" s="45" t="s">
        <v>132</v>
      </c>
    </row>
    <row r="31" spans="1:11">
      <c r="B31" t="s">
        <v>133</v>
      </c>
    </row>
    <row r="32" spans="1:11">
      <c r="C32" t="s">
        <v>134</v>
      </c>
      <c r="G32" s="6" cm="1">
        <f t="array" ref="G32">_xlfn.TAKE(unlev.FCF,1,-1)</f>
        <v>3982.3387974685729</v>
      </c>
    </row>
    <row r="33" spans="2:13">
      <c r="D33" t="s">
        <v>135</v>
      </c>
      <c r="G33" s="37">
        <v>0.03</v>
      </c>
    </row>
    <row r="34" spans="2:13">
      <c r="C34" t="s">
        <v>136</v>
      </c>
      <c r="G34" s="16">
        <f>+G32*(1+G33)</f>
        <v>4101.8089613926304</v>
      </c>
    </row>
    <row r="35" spans="2:13">
      <c r="C35" t="s">
        <v>137</v>
      </c>
      <c r="G35" s="6">
        <f>+G34/(WACC-G33)</f>
        <v>67535.199281134453</v>
      </c>
    </row>
    <row r="37" spans="2:13" ht="18.75">
      <c r="B37" s="48" t="s">
        <v>138</v>
      </c>
    </row>
    <row r="38" spans="2:13">
      <c r="C38" t="s">
        <v>139</v>
      </c>
      <c r="G38" s="6">
        <f>Term.Ebitda</f>
        <v>8176.1320900239352</v>
      </c>
    </row>
    <row r="39" spans="2:13">
      <c r="C39" t="s">
        <v>140</v>
      </c>
      <c r="G39" s="47">
        <v>9</v>
      </c>
    </row>
    <row r="40" spans="2:13">
      <c r="D40" t="s">
        <v>141</v>
      </c>
      <c r="G40" s="6">
        <f>+G38*G39</f>
        <v>73585.188810215419</v>
      </c>
    </row>
    <row r="41" spans="2:13">
      <c r="G41" s="6"/>
      <c r="H41" s="6"/>
      <c r="I41" s="6"/>
      <c r="J41" s="6"/>
      <c r="K41" s="6"/>
      <c r="L41" s="6"/>
      <c r="M41" s="6"/>
    </row>
    <row r="42" spans="2:13">
      <c r="B42" t="s">
        <v>142</v>
      </c>
      <c r="G42" s="6"/>
      <c r="H42" s="6"/>
      <c r="I42" s="6"/>
      <c r="J42" s="6"/>
      <c r="K42" s="6"/>
      <c r="L42" s="6"/>
    </row>
    <row r="43" spans="2:13">
      <c r="C43" t="s">
        <v>54</v>
      </c>
      <c r="G43" s="6" cm="1">
        <f t="array" ref="G43">_xlfn.TAKE(F.Cash,1,-1)</f>
        <v>1998.2367409330509</v>
      </c>
      <c r="H43" s="6"/>
      <c r="I43" s="6"/>
      <c r="J43" s="6"/>
      <c r="K43" s="6"/>
      <c r="L43" s="6"/>
    </row>
    <row r="44" spans="2:13">
      <c r="C44" t="s">
        <v>116</v>
      </c>
      <c r="G44" s="6" cm="1">
        <f t="array" ref="G44">_xlfn.TAKE(-D.F.Total.Debt,1,-1)</f>
        <v>-4250</v>
      </c>
      <c r="H44" s="6"/>
      <c r="I44" s="6"/>
      <c r="J44" s="6"/>
      <c r="K44" s="6"/>
      <c r="L44" s="6"/>
    </row>
    <row r="45" spans="2:13">
      <c r="C45" t="s">
        <v>143</v>
      </c>
      <c r="G45" s="6" cm="1">
        <f t="array" ref="G45">_xlfn.TAKE(-F.Pref,1,-1)</f>
        <v>-1500</v>
      </c>
      <c r="H45" s="6"/>
      <c r="I45" s="6"/>
      <c r="J45" s="6"/>
      <c r="K45" s="6"/>
      <c r="L45" s="6"/>
    </row>
    <row r="46" spans="2:13">
      <c r="B46" t="s">
        <v>144</v>
      </c>
      <c r="G46" s="16">
        <f>SUM(G43:G45)</f>
        <v>-3751.7632590669491</v>
      </c>
      <c r="H46" s="6"/>
      <c r="I46" s="6"/>
      <c r="J46" s="6"/>
      <c r="K46" s="6"/>
      <c r="L46" s="6"/>
    </row>
    <row r="47" spans="2:13" ht="15" thickBot="1">
      <c r="G47" s="6"/>
      <c r="H47" s="6"/>
      <c r="I47" s="6"/>
      <c r="J47" s="6"/>
      <c r="K47" s="6"/>
      <c r="L47" s="6"/>
    </row>
    <row r="48" spans="2:13" ht="19.5" thickBot="1">
      <c r="B48" s="48" t="s">
        <v>145</v>
      </c>
      <c r="G48" s="6"/>
      <c r="H48" s="99" t="s">
        <v>146</v>
      </c>
      <c r="I48" s="100"/>
      <c r="J48" s="6"/>
      <c r="K48" s="6"/>
      <c r="L48" s="6"/>
    </row>
    <row r="49" spans="3:12" ht="15" thickBot="1">
      <c r="C49" t="s">
        <v>147</v>
      </c>
      <c r="G49" s="6"/>
      <c r="H49" s="50" t="s">
        <v>148</v>
      </c>
      <c r="I49" s="49" t="s">
        <v>149</v>
      </c>
      <c r="J49" s="6"/>
      <c r="K49" s="6"/>
      <c r="L49" s="6"/>
    </row>
    <row r="50" spans="3:12">
      <c r="D50" t="s">
        <v>150</v>
      </c>
      <c r="G50" s="6"/>
      <c r="H50" s="6">
        <f>+EV.Perp</f>
        <v>67535.199281134453</v>
      </c>
      <c r="I50" s="6">
        <f>+EV.Mult</f>
        <v>73585.188810215419</v>
      </c>
      <c r="J50" s="6"/>
      <c r="K50" s="6"/>
      <c r="L50" s="6"/>
    </row>
    <row r="51" spans="3:12">
      <c r="E51" t="s">
        <v>151</v>
      </c>
      <c r="G51" s="6"/>
      <c r="H51" s="40" cm="1">
        <f t="array" ref="H51">_xlfn.TAKE(Discount,1,-1)</f>
        <v>0.64774195183211869</v>
      </c>
      <c r="I51" s="40">
        <f>+H51</f>
        <v>0.64774195183211869</v>
      </c>
      <c r="J51" s="6"/>
      <c r="K51" s="6"/>
      <c r="L51" s="6"/>
    </row>
    <row r="52" spans="3:12">
      <c r="D52" t="s">
        <v>152</v>
      </c>
      <c r="G52" s="6"/>
      <c r="H52" s="6">
        <f>+H50*H51</f>
        <v>43745.381799733128</v>
      </c>
      <c r="I52" s="6">
        <f>+I50*I51</f>
        <v>47664.213825863917</v>
      </c>
      <c r="J52" s="6"/>
      <c r="K52" s="6"/>
      <c r="L52" s="6"/>
    </row>
    <row r="53" spans="3:12">
      <c r="D53" t="s">
        <v>153</v>
      </c>
      <c r="G53" s="6"/>
      <c r="H53" s="6">
        <f>NPV.FCF</f>
        <v>14451.285301508542</v>
      </c>
      <c r="I53" s="6">
        <f>NPV.FCF</f>
        <v>14451.285301508542</v>
      </c>
      <c r="J53" s="6"/>
      <c r="K53" s="6"/>
      <c r="L53" s="6"/>
    </row>
    <row r="54" spans="3:12">
      <c r="C54" t="s">
        <v>154</v>
      </c>
      <c r="G54" s="6"/>
      <c r="H54" s="6" cm="1">
        <f t="array" ref="H54:I54">+H52:I52+H53:I53</f>
        <v>58196.66710124167</v>
      </c>
      <c r="I54" s="6">
        <v>62115.499127372459</v>
      </c>
      <c r="J54" s="6"/>
      <c r="K54" s="6"/>
      <c r="L54" s="6"/>
    </row>
    <row r="55" spans="3:12">
      <c r="C55" t="s">
        <v>155</v>
      </c>
      <c r="G55" s="6"/>
      <c r="H55" s="6">
        <f>+terminal.Debt</f>
        <v>-3751.7632590669491</v>
      </c>
      <c r="I55" s="6">
        <f>+terminal.Debt</f>
        <v>-3751.7632590669491</v>
      </c>
      <c r="J55" s="6"/>
      <c r="K55" s="6"/>
      <c r="L55" s="6"/>
    </row>
    <row r="56" spans="3:12">
      <c r="D56" t="s">
        <v>156</v>
      </c>
      <c r="G56" s="6"/>
      <c r="H56" s="6" cm="1">
        <f t="array" ref="H56:I56">+_xlfn.ANCHORARRAY(H54)+H55:I55</f>
        <v>54444.903842174725</v>
      </c>
      <c r="I56" s="6">
        <v>58363.735868305506</v>
      </c>
      <c r="J56" s="6"/>
      <c r="K56" s="6"/>
      <c r="L56" s="6"/>
    </row>
    <row r="57" spans="3:12">
      <c r="D57" t="s">
        <v>157</v>
      </c>
      <c r="G57" s="6"/>
      <c r="H57" s="6">
        <f ca="1">shares.outstanding</f>
        <v>3987.596</v>
      </c>
      <c r="I57" s="6">
        <f ca="1">+H57</f>
        <v>3987.596</v>
      </c>
      <c r="J57" s="6"/>
      <c r="K57" s="6"/>
      <c r="L57" s="6"/>
    </row>
    <row r="58" spans="3:12">
      <c r="E58" t="s">
        <v>158</v>
      </c>
      <c r="G58" s="6"/>
      <c r="H58" s="51" cm="1">
        <f t="array" aca="1" ref="H58:I58" ca="1">+_xlfn.ANCHORARRAY(H56)/H57:I57</f>
        <v>13.653565667679155</v>
      </c>
      <c r="I58" s="51">
        <f ca="1"/>
        <v>14.636321199114832</v>
      </c>
      <c r="J58" s="6"/>
      <c r="K58" s="6"/>
      <c r="L58" s="6"/>
    </row>
    <row r="59" spans="3:12">
      <c r="E59" t="s">
        <v>159</v>
      </c>
      <c r="G59" s="6"/>
      <c r="H59" s="40">
        <f ca="1">+H58/share.price-1</f>
        <v>9.8436497802023792E-2</v>
      </c>
      <c r="I59" s="40">
        <f ca="1">+I58/share.price-1</f>
        <v>0.17749969421680056</v>
      </c>
      <c r="J59" s="6"/>
      <c r="K59" s="6"/>
      <c r="L59" s="6"/>
    </row>
    <row r="60" spans="3:12">
      <c r="G60" s="6"/>
      <c r="H60" s="6"/>
      <c r="I60" s="6"/>
      <c r="J60" s="6"/>
      <c r="K60" s="6"/>
      <c r="L60" s="6"/>
    </row>
    <row r="61" spans="3:12">
      <c r="C61" t="s">
        <v>160</v>
      </c>
      <c r="G61" s="6"/>
      <c r="H61" s="6"/>
      <c r="I61" s="6"/>
      <c r="J61" s="6"/>
      <c r="K61" s="6"/>
      <c r="L61" s="6"/>
    </row>
    <row r="62" spans="3:12">
      <c r="C62" t="s">
        <v>161</v>
      </c>
      <c r="G62" s="6"/>
      <c r="H62" s="46">
        <v>0.439</v>
      </c>
      <c r="I62" s="46">
        <v>0.56100000000000005</v>
      </c>
      <c r="J62" s="6"/>
      <c r="K62" s="6"/>
      <c r="L62" s="6"/>
    </row>
    <row r="63" spans="3:12">
      <c r="G63" s="6"/>
      <c r="H63" s="6"/>
      <c r="I63" s="6"/>
      <c r="J63" s="6"/>
      <c r="K63" s="6"/>
      <c r="L63" s="6"/>
    </row>
    <row r="64" spans="3:12">
      <c r="C64" t="s">
        <v>162</v>
      </c>
      <c r="G64" s="6"/>
      <c r="H64" s="51">
        <f ca="1">+SUMPRODUCT(H62:I62,_xlfn.ANCHORARRAY(H58))</f>
        <v>14.20489152081457</v>
      </c>
      <c r="I64" s="6"/>
      <c r="J64" s="6"/>
      <c r="K64" s="6"/>
      <c r="L64" s="6"/>
    </row>
    <row r="65" spans="7:13">
      <c r="G65" s="6"/>
      <c r="H65" s="6"/>
      <c r="I65" s="6"/>
      <c r="J65" s="6"/>
      <c r="K65" s="6"/>
      <c r="L65" s="6"/>
    </row>
    <row r="66" spans="7:13">
      <c r="G66" s="6"/>
      <c r="H66" s="6"/>
      <c r="I66" s="6"/>
      <c r="J66" s="6"/>
      <c r="K66" s="6"/>
      <c r="L66" s="6"/>
    </row>
    <row r="67" spans="7:13">
      <c r="G67" s="6"/>
      <c r="H67" s="6"/>
      <c r="I67" s="6"/>
      <c r="J67" s="6"/>
      <c r="K67" s="6"/>
      <c r="L67" s="6"/>
    </row>
    <row r="68" spans="7:13">
      <c r="G68" s="6"/>
      <c r="H68" s="6"/>
      <c r="I68" s="6"/>
      <c r="J68" s="6"/>
      <c r="K68" s="6"/>
      <c r="L68" s="6"/>
    </row>
    <row r="69" spans="7:13">
      <c r="G69" s="6"/>
      <c r="H69" s="6"/>
      <c r="I69" s="6"/>
      <c r="J69" s="6"/>
      <c r="K69" s="6"/>
      <c r="L69" s="6"/>
    </row>
    <row r="70" spans="7:13" ht="15" thickBot="1">
      <c r="H70" s="94" t="s">
        <v>163</v>
      </c>
      <c r="I70" s="95"/>
      <c r="J70" s="95"/>
      <c r="K70" s="95"/>
      <c r="L70" s="95"/>
      <c r="M70" s="96"/>
    </row>
    <row r="71" spans="7:13">
      <c r="H71" s="75"/>
      <c r="I71" s="97" t="s">
        <v>164</v>
      </c>
      <c r="J71" s="97"/>
      <c r="K71" s="97"/>
      <c r="L71" s="97"/>
      <c r="M71" s="98"/>
    </row>
    <row r="72" spans="7:13" ht="15" thickBot="1">
      <c r="H72" s="76">
        <f ca="1">price.perp</f>
        <v>13.653565667679155</v>
      </c>
      <c r="I72" s="53" cm="1">
        <f t="array" ref="I72:M72">_xlfn.SEQUENCE(1,5,2%,0.25%)</f>
        <v>0.02</v>
      </c>
      <c r="J72" s="53">
        <v>2.2499999999999999E-2</v>
      </c>
      <c r="K72" s="53">
        <v>2.4999999999999998E-2</v>
      </c>
      <c r="L72" s="53">
        <v>2.7499999999999997E-2</v>
      </c>
      <c r="M72" s="54">
        <v>2.9999999999999995E-2</v>
      </c>
    </row>
    <row r="73" spans="7:13" ht="15" customHeight="1">
      <c r="G73" s="91" t="s">
        <v>165</v>
      </c>
      <c r="H73" s="64" cm="1">
        <f t="array" ref="H73:H77">_xlfn.SEQUENCE(5,1,7.5%,1.5%)</f>
        <v>7.4999999999999997E-2</v>
      </c>
      <c r="I73" s="66">
        <f t="dataTable" ref="I73:M77" dt2D="1" dtr="1" r1="G33" r2="G13" ca="1"/>
        <v>15.740861448400585</v>
      </c>
      <c r="J73" s="67">
        <v>16.388318867817823</v>
      </c>
      <c r="K73" s="67">
        <v>17.100522029176791</v>
      </c>
      <c r="L73" s="67">
        <v>17.887693944363015</v>
      </c>
      <c r="M73" s="68">
        <v>18.76232940568104</v>
      </c>
    </row>
    <row r="74" spans="7:13">
      <c r="G74" s="92"/>
      <c r="H74" s="64">
        <v>0.09</v>
      </c>
      <c r="I74" s="69">
        <v>12.148241819441084</v>
      </c>
      <c r="J74" s="70">
        <v>12.522575804144815</v>
      </c>
      <c r="K74" s="70">
        <v>12.925704710748839</v>
      </c>
      <c r="L74" s="70">
        <v>13.361083929881183</v>
      </c>
      <c r="M74" s="71">
        <v>13.83274475060789</v>
      </c>
    </row>
    <row r="75" spans="7:13">
      <c r="G75" s="92"/>
      <c r="H75" s="64">
        <v>0.105</v>
      </c>
      <c r="I75" s="69">
        <v>9.8242374906783585</v>
      </c>
      <c r="J75" s="70">
        <v>10.063043403395096</v>
      </c>
      <c r="K75" s="70">
        <v>10.316774685656631</v>
      </c>
      <c r="L75" s="70">
        <v>10.586875728064072</v>
      </c>
      <c r="M75" s="71">
        <v>10.874983506632013</v>
      </c>
    </row>
    <row r="76" spans="7:13">
      <c r="G76" s="92"/>
      <c r="H76" s="64">
        <v>0.12</v>
      </c>
      <c r="I76" s="69">
        <v>8.1979381427645848</v>
      </c>
      <c r="J76" s="70">
        <v>8.3606766603000402</v>
      </c>
      <c r="K76" s="70">
        <v>8.531980362968941</v>
      </c>
      <c r="L76" s="70">
        <v>8.7125437252415683</v>
      </c>
      <c r="M76" s="71">
        <v>8.9031383854182309</v>
      </c>
    </row>
    <row r="77" spans="7:13">
      <c r="G77" s="93"/>
      <c r="H77" s="65">
        <v>0.13500000000000001</v>
      </c>
      <c r="I77" s="72">
        <v>6.9963019736505387</v>
      </c>
      <c r="J77" s="73">
        <v>7.1125895322834332</v>
      </c>
      <c r="K77" s="73">
        <v>7.2341628890360052</v>
      </c>
      <c r="L77" s="73">
        <v>7.3613908205212564</v>
      </c>
      <c r="M77" s="74">
        <v>7.494677224934378</v>
      </c>
    </row>
    <row r="78" spans="7:13">
      <c r="G78" s="6"/>
      <c r="H78" s="6"/>
      <c r="I78" s="6"/>
      <c r="J78" s="6"/>
      <c r="K78" s="6"/>
      <c r="L78" s="6"/>
    </row>
    <row r="79" spans="7:13" ht="15" thickBot="1">
      <c r="H79" s="94" t="s">
        <v>163</v>
      </c>
      <c r="I79" s="95"/>
      <c r="J79" s="95"/>
      <c r="K79" s="95"/>
      <c r="L79" s="95"/>
      <c r="M79" s="96"/>
    </row>
    <row r="80" spans="7:13">
      <c r="H80" s="75"/>
      <c r="I80" s="97" t="s">
        <v>166</v>
      </c>
      <c r="J80" s="97"/>
      <c r="K80" s="97"/>
      <c r="L80" s="97"/>
      <c r="M80" s="98"/>
    </row>
    <row r="81" spans="7:13" ht="15" thickBot="1">
      <c r="H81" s="76">
        <f ca="1">price.mult</f>
        <v>14.636321199114832</v>
      </c>
      <c r="I81" s="86" cm="1">
        <f t="array" ref="I81:M81">_xlfn.SEQUENCE(1,5,8,1)</f>
        <v>8</v>
      </c>
      <c r="J81" s="86">
        <v>9</v>
      </c>
      <c r="K81" s="86">
        <v>10</v>
      </c>
      <c r="L81" s="86">
        <v>11</v>
      </c>
      <c r="M81" s="87">
        <v>12</v>
      </c>
    </row>
    <row r="82" spans="7:13" ht="15" customHeight="1">
      <c r="G82" s="91" t="s">
        <v>165</v>
      </c>
      <c r="H82" s="64" cm="1">
        <f t="array" ref="H82:H86">_xlfn.SEQUENCE(5,1,7.5%,1.5%)</f>
        <v>7.4999999999999997E-2</v>
      </c>
      <c r="I82" s="66">
        <f t="dataTable" ref="I82:M86" dt2D="1" dtr="1" r1="G39" r2="G13"/>
        <v>14.265637936800752</v>
      </c>
      <c r="J82" s="67">
        <v>15.693855686678365</v>
      </c>
      <c r="K82" s="67">
        <v>17.122073436555979</v>
      </c>
      <c r="L82" s="67">
        <v>18.55029118643359</v>
      </c>
      <c r="M82" s="68">
        <v>19.978508936311201</v>
      </c>
    </row>
    <row r="83" spans="7:13">
      <c r="G83" s="92"/>
      <c r="H83" s="64">
        <v>0.09</v>
      </c>
      <c r="I83" s="69">
        <v>13.351207963482601</v>
      </c>
      <c r="J83" s="70">
        <v>14.683821614370919</v>
      </c>
      <c r="K83" s="70">
        <v>16.016435265259229</v>
      </c>
      <c r="L83" s="70">
        <v>17.349048916147549</v>
      </c>
      <c r="M83" s="71">
        <v>18.681662567035861</v>
      </c>
    </row>
    <row r="84" spans="7:13">
      <c r="G84" s="92"/>
      <c r="H84" s="64">
        <v>0.105</v>
      </c>
      <c r="I84" s="69">
        <v>12.506540218699543</v>
      </c>
      <c r="J84" s="70">
        <v>13.751127496585161</v>
      </c>
      <c r="K84" s="70">
        <v>14.99571477447078</v>
      </c>
      <c r="L84" s="70">
        <v>16.240302052356398</v>
      </c>
      <c r="M84" s="71">
        <v>17.484889330242016</v>
      </c>
    </row>
    <row r="85" spans="7:13">
      <c r="G85" s="92"/>
      <c r="H85" s="64">
        <v>0.12</v>
      </c>
      <c r="I85" s="69">
        <v>11.725391368033447</v>
      </c>
      <c r="J85" s="70">
        <v>12.888838448375141</v>
      </c>
      <c r="K85" s="70">
        <v>14.052285528716837</v>
      </c>
      <c r="L85" s="70">
        <v>15.215732609058529</v>
      </c>
      <c r="M85" s="71">
        <v>16.379179689400225</v>
      </c>
    </row>
    <row r="86" spans="7:13">
      <c r="G86" s="93"/>
      <c r="H86" s="65">
        <v>0.13500000000000001</v>
      </c>
      <c r="I86" s="72">
        <v>11.002153253417033</v>
      </c>
      <c r="J86" s="73">
        <v>12.090725956477042</v>
      </c>
      <c r="K86" s="73">
        <v>13.179298659537054</v>
      </c>
      <c r="L86" s="73">
        <v>14.267871362597063</v>
      </c>
      <c r="M86" s="74">
        <v>15.356444065657071</v>
      </c>
    </row>
    <row r="87" spans="7:13">
      <c r="G87" s="6"/>
      <c r="H87" s="6"/>
      <c r="I87" s="6"/>
      <c r="J87" s="6"/>
      <c r="K87" s="6"/>
      <c r="L87" s="6"/>
    </row>
    <row r="88" spans="7:13">
      <c r="H88" s="94" t="s">
        <v>163</v>
      </c>
      <c r="I88" s="95"/>
      <c r="J88" s="95"/>
      <c r="K88" s="95"/>
      <c r="L88" s="95"/>
      <c r="M88" s="96"/>
    </row>
    <row r="89" spans="7:13">
      <c r="G89" s="89" t="s">
        <v>167</v>
      </c>
      <c r="H89" s="75"/>
      <c r="I89" s="97" t="s">
        <v>166</v>
      </c>
      <c r="J89" s="97"/>
      <c r="K89" s="97"/>
      <c r="L89" s="97"/>
      <c r="M89" s="98"/>
    </row>
    <row r="90" spans="7:13">
      <c r="G90" s="90"/>
      <c r="H90" s="78">
        <f ca="1">price.mult</f>
        <v>14.636321199114832</v>
      </c>
      <c r="I90" s="53" cm="1">
        <f t="array" ref="I90:M90">_xlfn.SEQUENCE(1,5,2%,0.25%)</f>
        <v>0.02</v>
      </c>
      <c r="J90" s="53">
        <v>2.2499999999999999E-2</v>
      </c>
      <c r="K90" s="53">
        <v>2.4999999999999998E-2</v>
      </c>
      <c r="L90" s="53">
        <v>2.7499999999999997E-2</v>
      </c>
      <c r="M90" s="54">
        <v>2.9999999999999995E-2</v>
      </c>
    </row>
    <row r="91" spans="7:13">
      <c r="G91" s="79" cm="1">
        <f t="array" ref="G91:G95">_xlfn.SEQUENCE(5,1,70%,15%)</f>
        <v>0.7</v>
      </c>
      <c r="H91" s="84" cm="1">
        <f t="array" ref="H91:H95">_xlfn.ANCHORARRAY(G91)*_xlfn.TAKE(F.EBITDA,1,-1)</f>
        <v>5723.2924630167545</v>
      </c>
      <c r="I91" s="67">
        <f t="dataTable" ref="I91:M95" dt2D="1" dtr="1" r1="G39" r2="G38" ca="1"/>
        <v>2.7017948596245969</v>
      </c>
      <c r="J91" s="67">
        <v>2.7041190774182882</v>
      </c>
      <c r="K91" s="67">
        <v>2.7064432952119786</v>
      </c>
      <c r="L91" s="67">
        <v>2.7087675130056699</v>
      </c>
      <c r="M91" s="68">
        <v>2.7110917307993607</v>
      </c>
    </row>
    <row r="92" spans="7:13">
      <c r="G92" s="80">
        <v>0.85</v>
      </c>
      <c r="H92" s="82">
        <v>6949.7122765203449</v>
      </c>
      <c r="I92" s="70">
        <v>2.7057792329852099</v>
      </c>
      <c r="J92" s="70">
        <v>2.7086014974489778</v>
      </c>
      <c r="K92" s="70">
        <v>2.7114237619127457</v>
      </c>
      <c r="L92" s="70">
        <v>2.7142460263765131</v>
      </c>
      <c r="M92" s="71">
        <v>2.717068290840281</v>
      </c>
    </row>
    <row r="93" spans="7:13">
      <c r="G93" s="80">
        <v>1</v>
      </c>
      <c r="H93" s="82">
        <v>8176.1320900239352</v>
      </c>
      <c r="I93" s="70">
        <v>2.7097636063458235</v>
      </c>
      <c r="J93" s="70">
        <v>2.7130839174796679</v>
      </c>
      <c r="K93" s="70">
        <v>2.7164042286135119</v>
      </c>
      <c r="L93" s="70">
        <v>2.7197245397473564</v>
      </c>
      <c r="M93" s="71">
        <v>2.7230448508812009</v>
      </c>
    </row>
    <row r="94" spans="7:13">
      <c r="G94" s="80">
        <v>1.1499999999999999</v>
      </c>
      <c r="H94" s="82">
        <v>9402.5519035275247</v>
      </c>
      <c r="I94" s="70">
        <v>2.7137479797064361</v>
      </c>
      <c r="J94" s="70">
        <v>2.7175663375103576</v>
      </c>
      <c r="K94" s="70">
        <v>2.7213846953142786</v>
      </c>
      <c r="L94" s="70">
        <v>2.7252030531181997</v>
      </c>
      <c r="M94" s="71">
        <v>2.7290214109221207</v>
      </c>
    </row>
    <row r="95" spans="7:13">
      <c r="G95" s="81">
        <v>1.2999999999999998</v>
      </c>
      <c r="H95" s="83">
        <v>10628.971717031114</v>
      </c>
      <c r="I95" s="73">
        <v>2.7177323530670496</v>
      </c>
      <c r="J95" s="73">
        <v>2.7220487575410477</v>
      </c>
      <c r="K95" s="73">
        <v>2.7263651620150453</v>
      </c>
      <c r="L95" s="73">
        <v>2.7306815664890429</v>
      </c>
      <c r="M95" s="74">
        <v>2.7349979709630405</v>
      </c>
    </row>
    <row r="96" spans="7:13">
      <c r="G96" s="6"/>
      <c r="H96" s="6"/>
      <c r="I96" s="6"/>
      <c r="J96" s="6"/>
      <c r="K96" s="6"/>
      <c r="L96" s="6"/>
    </row>
    <row r="97" spans="5:12">
      <c r="G97" s="6"/>
      <c r="H97" s="6"/>
      <c r="I97" s="6"/>
      <c r="J97" s="6"/>
      <c r="K97" s="6"/>
      <c r="L97" s="6"/>
    </row>
    <row r="98" spans="5:12">
      <c r="G98" s="6"/>
      <c r="H98" s="6"/>
      <c r="I98" s="6"/>
      <c r="J98" s="6"/>
      <c r="K98" s="6"/>
      <c r="L98" s="6"/>
    </row>
    <row r="99" spans="5:12">
      <c r="G99" s="6"/>
      <c r="H99" s="6"/>
      <c r="I99" s="6"/>
      <c r="J99" s="6"/>
      <c r="K99" s="6"/>
      <c r="L99" s="6"/>
    </row>
    <row r="100" spans="5:12">
      <c r="G100" s="6"/>
      <c r="H100" s="6"/>
      <c r="I100" s="6"/>
      <c r="J100" s="6"/>
      <c r="K100" s="6"/>
      <c r="L100" s="6"/>
    </row>
    <row r="101" spans="5:12">
      <c r="G101" s="6" cm="1">
        <f t="array" ref="G101:K101">_xlfn.SEQUENCE(1,5,1)</f>
        <v>1</v>
      </c>
      <c r="H101" s="6">
        <v>2</v>
      </c>
      <c r="I101" s="6">
        <v>3</v>
      </c>
      <c r="J101" s="6">
        <v>4</v>
      </c>
      <c r="K101" s="6">
        <v>5</v>
      </c>
      <c r="L101" s="6"/>
    </row>
    <row r="102" spans="5:12">
      <c r="G102" s="6"/>
      <c r="H102" s="6"/>
      <c r="I102" s="6"/>
      <c r="J102" s="6"/>
      <c r="K102" s="6"/>
      <c r="L102" s="6"/>
    </row>
    <row r="103" spans="5:12">
      <c r="E103" t="s">
        <v>168</v>
      </c>
      <c r="G103" s="6"/>
      <c r="H103" s="77" t="s">
        <v>169</v>
      </c>
      <c r="I103" s="77" t="s">
        <v>170</v>
      </c>
      <c r="J103" s="77" t="s">
        <v>171</v>
      </c>
      <c r="K103" s="88" t="s">
        <v>172</v>
      </c>
      <c r="L103" s="6"/>
    </row>
    <row r="104" spans="5:12">
      <c r="G104" s="88" t="s">
        <v>173</v>
      </c>
      <c r="H104" s="85">
        <f>MIN(Table.mult)</f>
        <v>11.002153253417033</v>
      </c>
      <c r="I104" s="85">
        <f t="shared" ref="I104:I105" si="1">J104-H104</f>
        <v>8.9763556828941677</v>
      </c>
      <c r="J104" s="85">
        <f>MAX(Table.mult)</f>
        <v>19.978508936311201</v>
      </c>
      <c r="K104" s="85">
        <f ca="1">GFHIVM.Valuation</f>
        <v>14.20489152081457</v>
      </c>
      <c r="L104" s="6"/>
    </row>
    <row r="105" spans="5:12">
      <c r="G105" s="88" t="s">
        <v>174</v>
      </c>
      <c r="H105" s="85">
        <f>MIN(Table.perp)</f>
        <v>6.9963019736505387</v>
      </c>
      <c r="I105" s="85">
        <f t="shared" si="1"/>
        <v>11.766027432030501</v>
      </c>
      <c r="J105" s="85">
        <f>MAX(Table.perp)</f>
        <v>18.76232940568104</v>
      </c>
      <c r="K105" s="85">
        <f ca="1">GFHIVM.Valuation</f>
        <v>14.20489152081457</v>
      </c>
      <c r="L105" s="6"/>
    </row>
    <row r="106" spans="5:12">
      <c r="G106" s="88" t="s">
        <v>175</v>
      </c>
      <c r="H106" s="85" cm="1">
        <f t="array" aca="1" ref="H106" ca="1">_FV(Stock,"52 week low",TRUE)</f>
        <v>11.11</v>
      </c>
      <c r="I106" s="6">
        <f ca="1">J106-H106</f>
        <v>6.6700000000000017</v>
      </c>
      <c r="J106" s="85" cm="1">
        <f t="array" aca="1" ref="J106" ca="1">_FV(Stock,"52 week high",TRUE)</f>
        <v>17.78</v>
      </c>
      <c r="K106" s="85">
        <f ca="1">GFHIVM.Valuation</f>
        <v>14.20489152081457</v>
      </c>
      <c r="L106" s="6"/>
    </row>
    <row r="107" spans="5:12">
      <c r="H107" s="85"/>
      <c r="I107" s="85"/>
      <c r="J107" s="85"/>
      <c r="K107" s="6"/>
      <c r="L107" s="6"/>
    </row>
    <row r="108" spans="5:12">
      <c r="G108" s="6"/>
      <c r="H108" s="6"/>
      <c r="I108" s="6"/>
      <c r="J108" s="6"/>
      <c r="K108" s="6"/>
      <c r="L108" s="6"/>
    </row>
    <row r="109" spans="5:12">
      <c r="G109" s="6"/>
      <c r="H109" s="6"/>
      <c r="I109" s="6"/>
      <c r="J109" s="6"/>
      <c r="K109" s="6"/>
      <c r="L109" s="6"/>
    </row>
    <row r="110" spans="5:12">
      <c r="G110" s="6"/>
      <c r="H110" s="6"/>
      <c r="I110" s="6"/>
      <c r="J110" s="6"/>
      <c r="K110" s="6"/>
      <c r="L110" s="6"/>
    </row>
    <row r="111" spans="5:12">
      <c r="G111" s="6"/>
      <c r="H111" s="6"/>
      <c r="I111" s="6"/>
      <c r="J111" s="6"/>
      <c r="K111" s="6"/>
      <c r="L111" s="6"/>
    </row>
    <row r="112" spans="5:12">
      <c r="G112" s="6"/>
      <c r="H112" s="6"/>
      <c r="I112" s="6"/>
      <c r="J112" s="6"/>
      <c r="K112" s="6"/>
      <c r="L112" s="6"/>
    </row>
    <row r="113" spans="7:12">
      <c r="G113" s="6"/>
      <c r="H113" s="6"/>
      <c r="I113" s="6"/>
      <c r="J113" s="6"/>
      <c r="K113" s="6"/>
      <c r="L113" s="6"/>
    </row>
    <row r="114" spans="7:12">
      <c r="G114" s="6"/>
      <c r="H114" s="6"/>
      <c r="I114" s="6"/>
      <c r="J114" s="6"/>
      <c r="K114" s="6"/>
      <c r="L114" s="6"/>
    </row>
    <row r="115" spans="7:12">
      <c r="G115" s="6"/>
      <c r="H115" s="6"/>
      <c r="I115" s="6"/>
      <c r="J115" s="6"/>
      <c r="K115" s="6"/>
      <c r="L115" s="6"/>
    </row>
    <row r="116" spans="7:12">
      <c r="G116" s="6"/>
      <c r="H116" s="6"/>
      <c r="I116" s="6"/>
      <c r="J116" s="6"/>
      <c r="K116" s="6"/>
      <c r="L116" s="6"/>
    </row>
    <row r="117" spans="7:12">
      <c r="G117" s="6"/>
      <c r="H117" s="6"/>
      <c r="I117" s="6"/>
      <c r="J117" s="6"/>
      <c r="K117" s="6"/>
      <c r="L117" s="6"/>
    </row>
    <row r="118" spans="7:12">
      <c r="G118" s="6"/>
      <c r="H118" s="6"/>
      <c r="I118" s="6"/>
      <c r="J118" s="6"/>
      <c r="K118" s="6"/>
      <c r="L118" s="6"/>
    </row>
    <row r="119" spans="7:12">
      <c r="G119" s="6"/>
      <c r="H119" s="6"/>
      <c r="I119" s="6"/>
      <c r="J119" s="6"/>
      <c r="K119" s="6"/>
      <c r="L119" s="6"/>
    </row>
    <row r="120" spans="7:12">
      <c r="G120" s="6"/>
      <c r="H120" s="6"/>
      <c r="I120" s="6"/>
      <c r="J120" s="6"/>
      <c r="K120" s="6"/>
      <c r="L120" s="6"/>
    </row>
    <row r="121" spans="7:12">
      <c r="G121" s="6"/>
      <c r="H121" s="6"/>
      <c r="I121" s="6"/>
      <c r="J121" s="6"/>
      <c r="K121" s="6"/>
      <c r="L121" s="6"/>
    </row>
    <row r="122" spans="7:12">
      <c r="G122" s="6"/>
      <c r="H122" s="6"/>
      <c r="I122" s="6"/>
      <c r="J122" s="6"/>
      <c r="K122" s="6"/>
      <c r="L122" s="6"/>
    </row>
    <row r="123" spans="7:12">
      <c r="G123" s="6"/>
      <c r="H123" s="6"/>
      <c r="I123" s="6"/>
      <c r="J123" s="6"/>
      <c r="K123" s="6"/>
      <c r="L123" s="6"/>
    </row>
    <row r="124" spans="7:12">
      <c r="G124" s="6"/>
      <c r="H124" s="6"/>
      <c r="I124" s="6"/>
      <c r="J124" s="6"/>
      <c r="K124" s="6"/>
      <c r="L124" s="6"/>
    </row>
    <row r="125" spans="7:12">
      <c r="G125" s="6"/>
      <c r="H125" s="6"/>
      <c r="I125" s="6"/>
      <c r="J125" s="6"/>
      <c r="K125" s="6"/>
      <c r="L125" s="6"/>
    </row>
    <row r="126" spans="7:12">
      <c r="G126" s="6"/>
      <c r="H126" s="6"/>
      <c r="I126" s="6"/>
      <c r="J126" s="6"/>
      <c r="K126" s="6"/>
      <c r="L126" s="6"/>
    </row>
    <row r="127" spans="7:12">
      <c r="G127" s="6"/>
      <c r="H127" s="6"/>
      <c r="I127" s="6"/>
      <c r="J127" s="6"/>
      <c r="K127" s="6"/>
      <c r="L127" s="6"/>
    </row>
    <row r="128" spans="7:12">
      <c r="G128" s="6"/>
      <c r="H128" s="6"/>
      <c r="I128" s="6"/>
      <c r="J128" s="6"/>
      <c r="K128" s="6"/>
      <c r="L128" s="6"/>
    </row>
    <row r="129" spans="7:12">
      <c r="G129" s="6"/>
      <c r="H129" s="6"/>
      <c r="I129" s="6"/>
      <c r="J129" s="6"/>
      <c r="K129" s="6"/>
      <c r="L129" s="6"/>
    </row>
    <row r="130" spans="7:12">
      <c r="G130" s="6"/>
      <c r="H130" s="6"/>
      <c r="I130" s="6"/>
      <c r="J130" s="6"/>
      <c r="K130" s="6"/>
      <c r="L130" s="6"/>
    </row>
    <row r="131" spans="7:12">
      <c r="G131" s="6"/>
      <c r="H131" s="6"/>
      <c r="I131" s="6"/>
      <c r="J131" s="6"/>
      <c r="K131" s="6"/>
      <c r="L131" s="6"/>
    </row>
    <row r="132" spans="7:12">
      <c r="G132" s="6"/>
      <c r="H132" s="6"/>
      <c r="I132" s="6"/>
      <c r="J132" s="6"/>
      <c r="K132" s="6"/>
      <c r="L132" s="6"/>
    </row>
    <row r="133" spans="7:12">
      <c r="G133" s="6"/>
      <c r="H133" s="6"/>
      <c r="I133" s="6"/>
      <c r="J133" s="6"/>
      <c r="K133" s="6"/>
      <c r="L133" s="6"/>
    </row>
    <row r="134" spans="7:12">
      <c r="G134" s="6"/>
      <c r="H134" s="6"/>
      <c r="I134" s="6"/>
      <c r="J134" s="6"/>
      <c r="K134" s="6"/>
      <c r="L134" s="6"/>
    </row>
    <row r="135" spans="7:12">
      <c r="G135" s="6"/>
      <c r="H135" s="6"/>
      <c r="I135" s="6"/>
      <c r="J135" s="6"/>
      <c r="K135" s="6"/>
      <c r="L135" s="6"/>
    </row>
    <row r="136" spans="7:12">
      <c r="G136" s="6"/>
      <c r="H136" s="6"/>
      <c r="I136" s="6"/>
      <c r="J136" s="6"/>
      <c r="K136" s="6"/>
      <c r="L136" s="6"/>
    </row>
    <row r="137" spans="7:12">
      <c r="G137" s="6"/>
      <c r="H137" s="6"/>
      <c r="I137" s="6"/>
      <c r="J137" s="6"/>
      <c r="K137" s="6"/>
      <c r="L137" s="6"/>
    </row>
    <row r="138" spans="7:12">
      <c r="G138" s="6"/>
      <c r="H138" s="6"/>
      <c r="I138" s="6"/>
      <c r="J138" s="6"/>
      <c r="K138" s="6"/>
      <c r="L138" s="6"/>
    </row>
    <row r="139" spans="7:12">
      <c r="G139" s="6"/>
      <c r="H139" s="6"/>
      <c r="I139" s="6"/>
      <c r="J139" s="6"/>
      <c r="K139" s="6"/>
      <c r="L139" s="6"/>
    </row>
    <row r="140" spans="7:12">
      <c r="G140" s="6"/>
      <c r="H140" s="6"/>
      <c r="I140" s="6"/>
      <c r="J140" s="6"/>
      <c r="K140" s="6"/>
      <c r="L140" s="6"/>
    </row>
    <row r="141" spans="7:12">
      <c r="G141" s="6"/>
      <c r="H141" s="6"/>
      <c r="I141" s="6"/>
      <c r="J141" s="6"/>
      <c r="K141" s="6"/>
      <c r="L141" s="6"/>
    </row>
    <row r="142" spans="7:12">
      <c r="G142" s="6"/>
      <c r="H142" s="6"/>
      <c r="I142" s="6"/>
      <c r="J142" s="6"/>
      <c r="K142" s="6"/>
      <c r="L142" s="6"/>
    </row>
    <row r="143" spans="7:12">
      <c r="G143" s="6"/>
      <c r="H143" s="6"/>
      <c r="I143" s="6"/>
      <c r="J143" s="6"/>
      <c r="K143" s="6"/>
      <c r="L143" s="6"/>
    </row>
    <row r="144" spans="7:12">
      <c r="G144" s="6"/>
      <c r="H144" s="6"/>
      <c r="I144" s="6"/>
      <c r="J144" s="6"/>
      <c r="K144" s="6"/>
      <c r="L144" s="6"/>
    </row>
    <row r="145" spans="7:12">
      <c r="G145" s="6"/>
      <c r="H145" s="6"/>
      <c r="I145" s="6"/>
      <c r="J145" s="6"/>
      <c r="K145" s="6"/>
      <c r="L145" s="6"/>
    </row>
    <row r="146" spans="7:12">
      <c r="G146" s="6"/>
      <c r="H146" s="6"/>
      <c r="I146" s="6"/>
      <c r="J146" s="6"/>
      <c r="K146" s="6"/>
      <c r="L146" s="6"/>
    </row>
    <row r="147" spans="7:12">
      <c r="G147" s="6"/>
      <c r="H147" s="6"/>
      <c r="I147" s="6"/>
      <c r="J147" s="6"/>
      <c r="K147" s="6"/>
      <c r="L147" s="6"/>
    </row>
    <row r="148" spans="7:12">
      <c r="G148" s="6"/>
      <c r="H148" s="6"/>
      <c r="I148" s="6"/>
      <c r="J148" s="6"/>
      <c r="K148" s="6"/>
      <c r="L148" s="6"/>
    </row>
    <row r="149" spans="7:12">
      <c r="G149" s="6"/>
      <c r="H149" s="6"/>
      <c r="I149" s="6"/>
      <c r="J149" s="6"/>
      <c r="K149" s="6"/>
      <c r="L149" s="6"/>
    </row>
    <row r="150" spans="7:12">
      <c r="G150" s="6"/>
      <c r="H150" s="6"/>
      <c r="I150" s="6"/>
      <c r="J150" s="6"/>
      <c r="K150" s="6"/>
      <c r="L150" s="6"/>
    </row>
    <row r="151" spans="7:12">
      <c r="G151" s="6"/>
      <c r="H151" s="6"/>
      <c r="I151" s="6"/>
      <c r="J151" s="6"/>
      <c r="K151" s="6"/>
      <c r="L151" s="6"/>
    </row>
    <row r="152" spans="7:12">
      <c r="G152" s="6"/>
      <c r="H152" s="6"/>
      <c r="I152" s="6"/>
      <c r="J152" s="6"/>
      <c r="K152" s="6"/>
      <c r="L152" s="6"/>
    </row>
    <row r="153" spans="7:12">
      <c r="G153" s="6"/>
      <c r="H153" s="6"/>
      <c r="I153" s="6"/>
      <c r="J153" s="6"/>
      <c r="K153" s="6"/>
      <c r="L153" s="6"/>
    </row>
    <row r="154" spans="7:12">
      <c r="G154" s="6"/>
      <c r="H154" s="6"/>
      <c r="I154" s="6"/>
      <c r="J154" s="6"/>
      <c r="K154" s="6"/>
      <c r="L154" s="6"/>
    </row>
    <row r="155" spans="7:12">
      <c r="G155" s="6"/>
      <c r="H155" s="6"/>
      <c r="I155" s="6"/>
      <c r="J155" s="6"/>
      <c r="K155" s="6"/>
      <c r="L155" s="6"/>
    </row>
    <row r="156" spans="7:12">
      <c r="G156" s="6"/>
      <c r="H156" s="6"/>
      <c r="I156" s="6"/>
      <c r="J156" s="6"/>
      <c r="K156" s="6"/>
      <c r="L156" s="6"/>
    </row>
    <row r="157" spans="7:12">
      <c r="G157" s="6"/>
      <c r="H157" s="6"/>
      <c r="I157" s="6"/>
      <c r="J157" s="6"/>
      <c r="K157" s="6"/>
      <c r="L157" s="6"/>
    </row>
    <row r="158" spans="7:12">
      <c r="G158" s="6"/>
      <c r="H158" s="6"/>
      <c r="I158" s="6"/>
      <c r="J158" s="6"/>
      <c r="K158" s="6"/>
      <c r="L158" s="6"/>
    </row>
    <row r="159" spans="7:12">
      <c r="G159" s="6"/>
      <c r="H159" s="6"/>
      <c r="I159" s="6"/>
      <c r="J159" s="6"/>
      <c r="K159" s="6"/>
      <c r="L159" s="6"/>
    </row>
    <row r="160" spans="7:12">
      <c r="G160" s="6"/>
      <c r="H160" s="6"/>
      <c r="I160" s="6"/>
      <c r="J160" s="6"/>
      <c r="K160" s="6"/>
      <c r="L160" s="6"/>
    </row>
    <row r="161" spans="7:12">
      <c r="G161" s="6"/>
      <c r="H161" s="6"/>
      <c r="I161" s="6"/>
      <c r="J161" s="6"/>
      <c r="K161" s="6"/>
      <c r="L161" s="6"/>
    </row>
    <row r="162" spans="7:12">
      <c r="G162" s="6"/>
      <c r="H162" s="6"/>
      <c r="I162" s="6"/>
      <c r="J162" s="6"/>
      <c r="K162" s="6"/>
      <c r="L162" s="6"/>
    </row>
    <row r="163" spans="7:12">
      <c r="G163" s="6"/>
      <c r="H163" s="6"/>
      <c r="I163" s="6"/>
      <c r="J163" s="6"/>
      <c r="K163" s="6"/>
      <c r="L163" s="6"/>
    </row>
    <row r="164" spans="7:12">
      <c r="G164" s="6"/>
      <c r="H164" s="6"/>
      <c r="I164" s="6"/>
      <c r="J164" s="6"/>
      <c r="K164" s="6"/>
      <c r="L164" s="6"/>
    </row>
    <row r="165" spans="7:12">
      <c r="G165" s="6"/>
      <c r="H165" s="6"/>
      <c r="I165" s="6"/>
      <c r="J165" s="6"/>
      <c r="K165" s="6"/>
      <c r="L165" s="6"/>
    </row>
    <row r="166" spans="7:12">
      <c r="G166" s="6"/>
      <c r="H166" s="6"/>
      <c r="I166" s="6"/>
      <c r="J166" s="6"/>
      <c r="K166" s="6"/>
      <c r="L166" s="6"/>
    </row>
    <row r="167" spans="7:12">
      <c r="G167" s="6"/>
      <c r="H167" s="6"/>
      <c r="I167" s="6"/>
      <c r="J167" s="6"/>
      <c r="K167" s="6"/>
      <c r="L167" s="6"/>
    </row>
    <row r="168" spans="7:12">
      <c r="G168" s="6"/>
      <c r="H168" s="6"/>
      <c r="I168" s="6"/>
      <c r="J168" s="6"/>
      <c r="K168" s="6"/>
      <c r="L168" s="6"/>
    </row>
    <row r="169" spans="7:12">
      <c r="G169" s="6"/>
      <c r="H169" s="6"/>
      <c r="I169" s="6"/>
      <c r="J169" s="6"/>
      <c r="K169" s="6"/>
      <c r="L169" s="6"/>
    </row>
    <row r="170" spans="7:12">
      <c r="G170" s="6"/>
      <c r="H170" s="6"/>
      <c r="I170" s="6"/>
      <c r="J170" s="6"/>
      <c r="K170" s="6"/>
      <c r="L170" s="6"/>
    </row>
    <row r="171" spans="7:12">
      <c r="G171" s="6"/>
      <c r="H171" s="6"/>
      <c r="I171" s="6"/>
      <c r="J171" s="6"/>
      <c r="K171" s="6"/>
      <c r="L171" s="6"/>
    </row>
    <row r="172" spans="7:12">
      <c r="G172" s="6"/>
      <c r="H172" s="6"/>
      <c r="I172" s="6"/>
      <c r="J172" s="6"/>
      <c r="K172" s="6"/>
      <c r="L172" s="6"/>
    </row>
    <row r="173" spans="7:12">
      <c r="G173" s="6"/>
      <c r="H173" s="6"/>
      <c r="I173" s="6"/>
      <c r="J173" s="6"/>
      <c r="K173" s="6"/>
      <c r="L173" s="6"/>
    </row>
    <row r="174" spans="7:12">
      <c r="G174" s="6"/>
      <c r="H174" s="6"/>
      <c r="I174" s="6"/>
      <c r="J174" s="6"/>
      <c r="K174" s="6"/>
      <c r="L174" s="6"/>
    </row>
    <row r="175" spans="7:12">
      <c r="G175" s="6"/>
      <c r="H175" s="6"/>
      <c r="I175" s="6"/>
      <c r="J175" s="6"/>
      <c r="K175" s="6"/>
      <c r="L175" s="6"/>
    </row>
    <row r="176" spans="7:12">
      <c r="G176" s="6"/>
      <c r="H176" s="6"/>
      <c r="I176" s="6"/>
      <c r="J176" s="6"/>
      <c r="K176" s="6"/>
      <c r="L176" s="6"/>
    </row>
    <row r="177" spans="7:12">
      <c r="G177" s="6"/>
      <c r="H177" s="6"/>
      <c r="I177" s="6"/>
      <c r="J177" s="6"/>
      <c r="K177" s="6"/>
      <c r="L177" s="6"/>
    </row>
    <row r="178" spans="7:12">
      <c r="G178" s="6"/>
      <c r="H178" s="6"/>
      <c r="I178" s="6"/>
      <c r="J178" s="6"/>
      <c r="K178" s="6"/>
      <c r="L178" s="6"/>
    </row>
    <row r="179" spans="7:12">
      <c r="G179" s="6"/>
      <c r="H179" s="6"/>
      <c r="I179" s="6"/>
      <c r="J179" s="6"/>
      <c r="K179" s="6"/>
      <c r="L179" s="6"/>
    </row>
    <row r="180" spans="7:12">
      <c r="G180" s="6"/>
      <c r="H180" s="6"/>
      <c r="I180" s="6"/>
      <c r="J180" s="6"/>
      <c r="K180" s="6"/>
      <c r="L180" s="6"/>
    </row>
    <row r="181" spans="7:12">
      <c r="G181" s="6"/>
      <c r="H181" s="6"/>
      <c r="I181" s="6"/>
      <c r="J181" s="6"/>
      <c r="K181" s="6"/>
      <c r="L181" s="6"/>
    </row>
    <row r="182" spans="7:12">
      <c r="G182" s="6"/>
      <c r="H182" s="6"/>
      <c r="I182" s="6"/>
      <c r="J182" s="6"/>
      <c r="K182" s="6"/>
      <c r="L182" s="6"/>
    </row>
    <row r="183" spans="7:12">
      <c r="G183" s="6"/>
      <c r="H183" s="6"/>
      <c r="I183" s="6"/>
      <c r="J183" s="6"/>
      <c r="K183" s="6"/>
      <c r="L183" s="6"/>
    </row>
    <row r="184" spans="7:12">
      <c r="G184" s="6"/>
      <c r="H184" s="6"/>
      <c r="I184" s="6"/>
      <c r="J184" s="6"/>
      <c r="K184" s="6"/>
      <c r="L184" s="6"/>
    </row>
    <row r="185" spans="7:12">
      <c r="G185" s="6"/>
      <c r="H185" s="6"/>
      <c r="I185" s="6"/>
      <c r="J185" s="6"/>
      <c r="K185" s="6"/>
      <c r="L185" s="6"/>
    </row>
    <row r="186" spans="7:12">
      <c r="G186" s="6"/>
      <c r="H186" s="6"/>
      <c r="I186" s="6"/>
      <c r="J186" s="6"/>
      <c r="K186" s="6"/>
      <c r="L186" s="6"/>
    </row>
    <row r="187" spans="7:12">
      <c r="G187" s="6"/>
      <c r="H187" s="6"/>
      <c r="I187" s="6"/>
      <c r="J187" s="6"/>
      <c r="K187" s="6"/>
      <c r="L187" s="6"/>
    </row>
    <row r="188" spans="7:12">
      <c r="G188" s="6"/>
      <c r="H188" s="6"/>
      <c r="I188" s="6"/>
      <c r="J188" s="6"/>
      <c r="K188" s="6"/>
      <c r="L188" s="6"/>
    </row>
    <row r="189" spans="7:12">
      <c r="G189" s="6"/>
      <c r="H189" s="6"/>
      <c r="I189" s="6"/>
      <c r="J189" s="6"/>
      <c r="K189" s="6"/>
      <c r="L189" s="6"/>
    </row>
    <row r="190" spans="7:12">
      <c r="G190" s="6"/>
      <c r="H190" s="6"/>
      <c r="I190" s="6"/>
      <c r="J190" s="6"/>
      <c r="K190" s="6"/>
      <c r="L190" s="6"/>
    </row>
    <row r="191" spans="7:12">
      <c r="G191" s="6"/>
      <c r="H191" s="6"/>
      <c r="I191" s="6"/>
      <c r="J191" s="6"/>
      <c r="K191" s="6"/>
      <c r="L191" s="6"/>
    </row>
    <row r="192" spans="7:12">
      <c r="G192" s="6"/>
      <c r="H192" s="6"/>
      <c r="I192" s="6"/>
      <c r="J192" s="6"/>
      <c r="K192" s="6"/>
      <c r="L192" s="6"/>
    </row>
    <row r="193" spans="7:12">
      <c r="G193" s="6"/>
      <c r="H193" s="6"/>
      <c r="I193" s="6"/>
      <c r="J193" s="6"/>
      <c r="K193" s="6"/>
      <c r="L193" s="6"/>
    </row>
    <row r="194" spans="7:12">
      <c r="G194" s="6"/>
      <c r="H194" s="6"/>
      <c r="I194" s="6"/>
      <c r="J194" s="6"/>
      <c r="K194" s="6"/>
      <c r="L194" s="6"/>
    </row>
    <row r="195" spans="7:12">
      <c r="G195" s="6"/>
      <c r="H195" s="6"/>
      <c r="I195" s="6"/>
      <c r="J195" s="6"/>
      <c r="K195" s="6"/>
      <c r="L195" s="6"/>
    </row>
    <row r="196" spans="7:12">
      <c r="G196" s="6"/>
      <c r="H196" s="6"/>
      <c r="I196" s="6"/>
      <c r="J196" s="6"/>
      <c r="K196" s="6"/>
      <c r="L196" s="6"/>
    </row>
    <row r="197" spans="7:12">
      <c r="G197" s="6"/>
      <c r="H197" s="6"/>
      <c r="I197" s="6"/>
      <c r="J197" s="6"/>
      <c r="K197" s="6"/>
      <c r="L197" s="6"/>
    </row>
    <row r="198" spans="7:12">
      <c r="G198" s="6"/>
      <c r="H198" s="6"/>
      <c r="I198" s="6"/>
      <c r="J198" s="6"/>
      <c r="K198" s="6"/>
      <c r="L198" s="6"/>
    </row>
    <row r="199" spans="7:12">
      <c r="G199" s="6"/>
      <c r="H199" s="6"/>
      <c r="I199" s="6"/>
      <c r="J199" s="6"/>
      <c r="K199" s="6"/>
      <c r="L199" s="6"/>
    </row>
    <row r="200" spans="7:12">
      <c r="G200" s="6"/>
      <c r="H200" s="6"/>
      <c r="I200" s="6"/>
      <c r="J200" s="6"/>
      <c r="K200" s="6"/>
      <c r="L200" s="6"/>
    </row>
    <row r="201" spans="7:12">
      <c r="G201" s="6"/>
      <c r="H201" s="6"/>
      <c r="I201" s="6"/>
      <c r="J201" s="6"/>
      <c r="K201" s="6"/>
      <c r="L201" s="6"/>
    </row>
    <row r="202" spans="7:12">
      <c r="G202" s="6"/>
      <c r="H202" s="6"/>
      <c r="I202" s="6"/>
      <c r="J202" s="6"/>
      <c r="K202" s="6"/>
      <c r="L202" s="6"/>
    </row>
    <row r="203" spans="7:12">
      <c r="G203" s="6"/>
      <c r="H203" s="6"/>
      <c r="I203" s="6"/>
      <c r="J203" s="6"/>
      <c r="K203" s="6"/>
      <c r="L203" s="6"/>
    </row>
    <row r="204" spans="7:12">
      <c r="G204" s="6"/>
      <c r="H204" s="6"/>
      <c r="I204" s="6"/>
      <c r="J204" s="6"/>
      <c r="K204" s="6"/>
      <c r="L204" s="6"/>
    </row>
    <row r="205" spans="7:12">
      <c r="G205" s="6"/>
      <c r="H205" s="6"/>
      <c r="I205" s="6"/>
      <c r="J205" s="6"/>
      <c r="K205" s="6"/>
      <c r="L205" s="6"/>
    </row>
    <row r="206" spans="7:12">
      <c r="G206" s="6"/>
      <c r="H206" s="6"/>
      <c r="I206" s="6"/>
      <c r="J206" s="6"/>
      <c r="K206" s="6"/>
      <c r="L206" s="6"/>
    </row>
    <row r="207" spans="7:12">
      <c r="G207" s="6"/>
      <c r="H207" s="6"/>
      <c r="I207" s="6"/>
      <c r="J207" s="6"/>
      <c r="K207" s="6"/>
      <c r="L207" s="6"/>
    </row>
    <row r="208" spans="7:12">
      <c r="G208" s="6"/>
      <c r="H208" s="6"/>
      <c r="I208" s="6"/>
      <c r="J208" s="6"/>
      <c r="K208" s="6"/>
      <c r="L208" s="6"/>
    </row>
    <row r="209" spans="7:12">
      <c r="G209" s="6"/>
      <c r="H209" s="6"/>
      <c r="I209" s="6"/>
      <c r="J209" s="6"/>
      <c r="K209" s="6"/>
      <c r="L209" s="6"/>
    </row>
    <row r="210" spans="7:12">
      <c r="G210" s="6"/>
      <c r="H210" s="6"/>
      <c r="I210" s="6"/>
      <c r="J210" s="6"/>
      <c r="K210" s="6"/>
      <c r="L210" s="6"/>
    </row>
    <row r="211" spans="7:12">
      <c r="G211" s="6"/>
      <c r="H211" s="6"/>
      <c r="I211" s="6"/>
      <c r="J211" s="6"/>
      <c r="K211" s="6"/>
      <c r="L211" s="6"/>
    </row>
    <row r="212" spans="7:12">
      <c r="G212" s="6"/>
      <c r="H212" s="6"/>
      <c r="I212" s="6"/>
      <c r="J212" s="6"/>
      <c r="K212" s="6"/>
      <c r="L212" s="6"/>
    </row>
    <row r="213" spans="7:12">
      <c r="G213" s="6"/>
      <c r="H213" s="6"/>
      <c r="I213" s="6"/>
      <c r="J213" s="6"/>
      <c r="K213" s="6"/>
      <c r="L213" s="6"/>
    </row>
    <row r="214" spans="7:12">
      <c r="G214" s="6"/>
      <c r="H214" s="6"/>
      <c r="I214" s="6"/>
      <c r="J214" s="6"/>
      <c r="K214" s="6"/>
      <c r="L214" s="6"/>
    </row>
    <row r="215" spans="7:12">
      <c r="G215" s="6"/>
      <c r="H215" s="6"/>
      <c r="I215" s="6"/>
      <c r="J215" s="6"/>
      <c r="K215" s="6"/>
      <c r="L215" s="6"/>
    </row>
    <row r="216" spans="7:12">
      <c r="G216" s="6"/>
      <c r="H216" s="6"/>
      <c r="I216" s="6"/>
      <c r="J216" s="6"/>
      <c r="K216" s="6"/>
      <c r="L216" s="6"/>
    </row>
    <row r="217" spans="7:12">
      <c r="G217" s="6"/>
      <c r="H217" s="6"/>
      <c r="I217" s="6"/>
      <c r="J217" s="6"/>
      <c r="K217" s="6"/>
      <c r="L217" s="6"/>
    </row>
    <row r="218" spans="7:12">
      <c r="G218" s="6"/>
      <c r="H218" s="6"/>
      <c r="I218" s="6"/>
      <c r="J218" s="6"/>
      <c r="K218" s="6"/>
      <c r="L218" s="6"/>
    </row>
    <row r="219" spans="7:12">
      <c r="G219" s="6"/>
      <c r="H219" s="6"/>
      <c r="I219" s="6"/>
      <c r="J219" s="6"/>
      <c r="K219" s="6"/>
      <c r="L219" s="6"/>
    </row>
    <row r="220" spans="7:12">
      <c r="G220" s="6"/>
      <c r="H220" s="6"/>
      <c r="I220" s="6"/>
      <c r="J220" s="6"/>
      <c r="K220" s="6"/>
      <c r="L220" s="6"/>
    </row>
    <row r="221" spans="7:12">
      <c r="G221" s="6"/>
      <c r="H221" s="6"/>
      <c r="I221" s="6"/>
      <c r="J221" s="6"/>
      <c r="K221" s="6"/>
      <c r="L221" s="6"/>
    </row>
    <row r="222" spans="7:12">
      <c r="G222" s="6"/>
      <c r="H222" s="6"/>
      <c r="I222" s="6"/>
      <c r="J222" s="6"/>
      <c r="K222" s="6"/>
      <c r="L222" s="6"/>
    </row>
    <row r="223" spans="7:12">
      <c r="G223" s="6"/>
      <c r="H223" s="6"/>
      <c r="I223" s="6"/>
      <c r="J223" s="6"/>
      <c r="K223" s="6"/>
      <c r="L223" s="6"/>
    </row>
    <row r="224" spans="7:12">
      <c r="G224" s="6"/>
      <c r="H224" s="6"/>
      <c r="I224" s="6"/>
      <c r="J224" s="6"/>
      <c r="K224" s="6"/>
      <c r="L224" s="6"/>
    </row>
    <row r="225" spans="7:12">
      <c r="G225" s="6"/>
      <c r="H225" s="6"/>
      <c r="I225" s="6"/>
      <c r="J225" s="6"/>
      <c r="K225" s="6"/>
      <c r="L225" s="6"/>
    </row>
    <row r="226" spans="7:12">
      <c r="G226" s="6"/>
      <c r="H226" s="6"/>
      <c r="I226" s="6"/>
      <c r="J226" s="6"/>
      <c r="K226" s="6"/>
      <c r="L226" s="6"/>
    </row>
    <row r="227" spans="7:12">
      <c r="G227" s="6"/>
      <c r="H227" s="6"/>
      <c r="I227" s="6"/>
      <c r="J227" s="6"/>
      <c r="K227" s="6"/>
      <c r="L227" s="6"/>
    </row>
    <row r="228" spans="7:12">
      <c r="G228" s="6"/>
      <c r="H228" s="6"/>
      <c r="I228" s="6"/>
      <c r="J228" s="6"/>
      <c r="K228" s="6"/>
      <c r="L228" s="6"/>
    </row>
    <row r="229" spans="7:12">
      <c r="G229" s="6"/>
      <c r="H229" s="6"/>
      <c r="I229" s="6"/>
      <c r="J229" s="6"/>
      <c r="K229" s="6"/>
      <c r="L229" s="6"/>
    </row>
    <row r="230" spans="7:12">
      <c r="G230" s="6"/>
      <c r="H230" s="6"/>
      <c r="I230" s="6"/>
      <c r="J230" s="6"/>
      <c r="K230" s="6"/>
      <c r="L230" s="6"/>
    </row>
    <row r="231" spans="7:12">
      <c r="G231" s="6"/>
      <c r="H231" s="6"/>
      <c r="I231" s="6"/>
      <c r="J231" s="6"/>
      <c r="K231" s="6"/>
      <c r="L231" s="6"/>
    </row>
    <row r="232" spans="7:12">
      <c r="G232" s="6"/>
      <c r="H232" s="6"/>
      <c r="I232" s="6"/>
      <c r="J232" s="6"/>
      <c r="K232" s="6"/>
      <c r="L232" s="6"/>
    </row>
    <row r="233" spans="7:12">
      <c r="G233" s="6"/>
      <c r="H233" s="6"/>
      <c r="I233" s="6"/>
      <c r="J233" s="6"/>
      <c r="K233" s="6"/>
      <c r="L233" s="6"/>
    </row>
    <row r="234" spans="7:12">
      <c r="G234" s="6"/>
      <c r="H234" s="6"/>
      <c r="I234" s="6"/>
      <c r="J234" s="6"/>
      <c r="K234" s="6"/>
      <c r="L234" s="6"/>
    </row>
    <row r="235" spans="7:12">
      <c r="G235" s="6"/>
      <c r="H235" s="6"/>
      <c r="I235" s="6"/>
      <c r="J235" s="6"/>
      <c r="K235" s="6"/>
      <c r="L235" s="6"/>
    </row>
    <row r="236" spans="7:12">
      <c r="G236" s="6"/>
      <c r="H236" s="6"/>
      <c r="I236" s="6"/>
      <c r="J236" s="6"/>
      <c r="K236" s="6"/>
      <c r="L236" s="6"/>
    </row>
    <row r="237" spans="7:12">
      <c r="G237" s="6"/>
      <c r="H237" s="6"/>
      <c r="I237" s="6"/>
      <c r="J237" s="6"/>
      <c r="K237" s="6"/>
      <c r="L237" s="6"/>
    </row>
    <row r="238" spans="7:12">
      <c r="G238" s="6"/>
      <c r="H238" s="6"/>
      <c r="I238" s="6"/>
      <c r="J238" s="6"/>
      <c r="K238" s="6"/>
      <c r="L238" s="6"/>
    </row>
    <row r="239" spans="7:12">
      <c r="G239" s="6"/>
      <c r="H239" s="6"/>
      <c r="I239" s="6"/>
      <c r="J239" s="6"/>
      <c r="K239" s="6"/>
      <c r="L239" s="6"/>
    </row>
    <row r="240" spans="7:12">
      <c r="G240" s="6"/>
      <c r="H240" s="6"/>
      <c r="I240" s="6"/>
      <c r="J240" s="6"/>
      <c r="K240" s="6"/>
      <c r="L240" s="6"/>
    </row>
    <row r="241" spans="7:12">
      <c r="G241" s="6"/>
      <c r="H241" s="6"/>
      <c r="I241" s="6"/>
      <c r="J241" s="6"/>
      <c r="K241" s="6"/>
      <c r="L241" s="6"/>
    </row>
    <row r="242" spans="7:12">
      <c r="G242" s="6"/>
      <c r="H242" s="6"/>
      <c r="I242" s="6"/>
      <c r="J242" s="6"/>
      <c r="K242" s="6"/>
      <c r="L242" s="6"/>
    </row>
    <row r="243" spans="7:12">
      <c r="G243" s="6"/>
      <c r="H243" s="6"/>
      <c r="I243" s="6"/>
      <c r="J243" s="6"/>
      <c r="K243" s="6"/>
      <c r="L243" s="6"/>
    </row>
    <row r="244" spans="7:12">
      <c r="G244" s="6"/>
      <c r="H244" s="6"/>
      <c r="I244" s="6"/>
      <c r="J244" s="6"/>
      <c r="K244" s="6"/>
      <c r="L244" s="6"/>
    </row>
    <row r="245" spans="7:12">
      <c r="G245" s="6"/>
      <c r="H245" s="6"/>
      <c r="I245" s="6"/>
      <c r="J245" s="6"/>
      <c r="K245" s="6"/>
      <c r="L245" s="6"/>
    </row>
    <row r="246" spans="7:12">
      <c r="G246" s="6"/>
      <c r="H246" s="6"/>
      <c r="I246" s="6"/>
      <c r="J246" s="6"/>
      <c r="K246" s="6"/>
      <c r="L246" s="6"/>
    </row>
    <row r="247" spans="7:12">
      <c r="G247" s="6"/>
      <c r="H247" s="6"/>
      <c r="I247" s="6"/>
      <c r="J247" s="6"/>
      <c r="K247" s="6"/>
      <c r="L247" s="6"/>
    </row>
    <row r="248" spans="7:12">
      <c r="G248" s="6"/>
      <c r="H248" s="6"/>
      <c r="I248" s="6"/>
      <c r="J248" s="6"/>
      <c r="K248" s="6"/>
      <c r="L248" s="6"/>
    </row>
    <row r="249" spans="7:12">
      <c r="G249" s="6"/>
      <c r="H249" s="6"/>
      <c r="I249" s="6"/>
      <c r="J249" s="6"/>
      <c r="K249" s="6"/>
      <c r="L249" s="6"/>
    </row>
    <row r="250" spans="7:12">
      <c r="G250" s="6"/>
      <c r="H250" s="6"/>
      <c r="I250" s="6"/>
      <c r="J250" s="6"/>
      <c r="K250" s="6"/>
      <c r="L250" s="6"/>
    </row>
    <row r="251" spans="7:12">
      <c r="G251" s="6"/>
      <c r="H251" s="6"/>
      <c r="I251" s="6"/>
      <c r="J251" s="6"/>
      <c r="K251" s="6"/>
      <c r="L251" s="6"/>
    </row>
    <row r="252" spans="7:12">
      <c r="G252" s="6"/>
      <c r="H252" s="6"/>
      <c r="I252" s="6"/>
      <c r="J252" s="6"/>
      <c r="K252" s="6"/>
      <c r="L252" s="6"/>
    </row>
    <row r="253" spans="7:12">
      <c r="G253" s="6"/>
      <c r="H253" s="6"/>
      <c r="I253" s="6"/>
      <c r="J253" s="6"/>
      <c r="K253" s="6"/>
      <c r="L253" s="6"/>
    </row>
    <row r="254" spans="7:12">
      <c r="G254" s="6"/>
      <c r="H254" s="6"/>
      <c r="I254" s="6"/>
      <c r="J254" s="6"/>
      <c r="K254" s="6"/>
      <c r="L254" s="6"/>
    </row>
    <row r="255" spans="7:12">
      <c r="G255" s="6"/>
      <c r="H255" s="6"/>
      <c r="I255" s="6"/>
      <c r="J255" s="6"/>
      <c r="K255" s="6"/>
      <c r="L255" s="6"/>
    </row>
    <row r="256" spans="7:12">
      <c r="G256" s="6"/>
      <c r="H256" s="6"/>
      <c r="I256" s="6"/>
      <c r="J256" s="6"/>
      <c r="K256" s="6"/>
      <c r="L256" s="6"/>
    </row>
    <row r="257" spans="7:12">
      <c r="G257" s="6"/>
      <c r="H257" s="6"/>
      <c r="I257" s="6"/>
      <c r="J257" s="6"/>
      <c r="K257" s="6"/>
      <c r="L257" s="6"/>
    </row>
    <row r="258" spans="7:12">
      <c r="G258" s="6"/>
      <c r="H258" s="6"/>
      <c r="I258" s="6"/>
      <c r="J258" s="6"/>
      <c r="K258" s="6"/>
      <c r="L258" s="6"/>
    </row>
    <row r="259" spans="7:12">
      <c r="G259" s="6"/>
      <c r="H259" s="6"/>
      <c r="I259" s="6"/>
      <c r="J259" s="6"/>
      <c r="K259" s="6"/>
      <c r="L259" s="6"/>
    </row>
    <row r="260" spans="7:12">
      <c r="G260" s="6"/>
      <c r="H260" s="6"/>
      <c r="I260" s="6"/>
      <c r="J260" s="6"/>
      <c r="K260" s="6"/>
      <c r="L260" s="6"/>
    </row>
    <row r="261" spans="7:12">
      <c r="G261" s="6"/>
      <c r="H261" s="6"/>
      <c r="I261" s="6"/>
      <c r="J261" s="6"/>
      <c r="K261" s="6"/>
      <c r="L261" s="6"/>
    </row>
    <row r="262" spans="7:12">
      <c r="G262" s="6"/>
      <c r="H262" s="6"/>
      <c r="I262" s="6"/>
      <c r="J262" s="6"/>
      <c r="K262" s="6"/>
      <c r="L262" s="6"/>
    </row>
    <row r="263" spans="7:12">
      <c r="G263" s="6"/>
      <c r="H263" s="6"/>
      <c r="I263" s="6"/>
      <c r="J263" s="6"/>
      <c r="K263" s="6"/>
      <c r="L263" s="6"/>
    </row>
    <row r="264" spans="7:12">
      <c r="G264" s="6"/>
      <c r="H264" s="6"/>
      <c r="I264" s="6"/>
      <c r="J264" s="6"/>
      <c r="K264" s="6"/>
      <c r="L264" s="6"/>
    </row>
    <row r="265" spans="7:12">
      <c r="G265" s="6"/>
      <c r="H265" s="6"/>
      <c r="I265" s="6"/>
      <c r="J265" s="6"/>
      <c r="K265" s="6"/>
      <c r="L265" s="6"/>
    </row>
    <row r="266" spans="7:12">
      <c r="G266" s="6"/>
      <c r="H266" s="6"/>
      <c r="I266" s="6"/>
      <c r="J266" s="6"/>
      <c r="K266" s="6"/>
      <c r="L266" s="6"/>
    </row>
    <row r="267" spans="7:12">
      <c r="G267" s="6"/>
      <c r="H267" s="6"/>
      <c r="I267" s="6"/>
      <c r="J267" s="6"/>
      <c r="K267" s="6"/>
      <c r="L267" s="6"/>
    </row>
    <row r="268" spans="7:12">
      <c r="G268" s="6"/>
      <c r="H268" s="6"/>
      <c r="I268" s="6"/>
      <c r="J268" s="6"/>
      <c r="K268" s="6"/>
      <c r="L268" s="6"/>
    </row>
    <row r="269" spans="7:12">
      <c r="G269" s="6"/>
      <c r="H269" s="6"/>
      <c r="I269" s="6"/>
      <c r="J269" s="6"/>
      <c r="K269" s="6"/>
      <c r="L269" s="6"/>
    </row>
    <row r="270" spans="7:12">
      <c r="G270" s="6"/>
      <c r="H270" s="6"/>
      <c r="I270" s="6"/>
      <c r="J270" s="6"/>
      <c r="K270" s="6"/>
      <c r="L270" s="6"/>
    </row>
    <row r="271" spans="7:12">
      <c r="G271" s="6"/>
      <c r="H271" s="6"/>
      <c r="I271" s="6"/>
      <c r="J271" s="6"/>
      <c r="K271" s="6"/>
      <c r="L271" s="6"/>
    </row>
    <row r="272" spans="7:12">
      <c r="G272" s="6"/>
      <c r="H272" s="6"/>
      <c r="I272" s="6"/>
      <c r="J272" s="6"/>
      <c r="K272" s="6"/>
      <c r="L272" s="6"/>
    </row>
    <row r="273" spans="7:12">
      <c r="G273" s="6"/>
      <c r="H273" s="6"/>
      <c r="I273" s="6"/>
      <c r="J273" s="6"/>
      <c r="K273" s="6"/>
      <c r="L273" s="6"/>
    </row>
    <row r="274" spans="7:12">
      <c r="G274" s="6"/>
      <c r="H274" s="6"/>
      <c r="I274" s="6"/>
      <c r="J274" s="6"/>
      <c r="K274" s="6"/>
      <c r="L274" s="6"/>
    </row>
    <row r="275" spans="7:12">
      <c r="G275" s="6"/>
      <c r="H275" s="6"/>
      <c r="I275" s="6"/>
      <c r="J275" s="6"/>
      <c r="K275" s="6"/>
      <c r="L275" s="6"/>
    </row>
    <row r="276" spans="7:12">
      <c r="G276" s="6"/>
      <c r="H276" s="6"/>
      <c r="I276" s="6"/>
      <c r="J276" s="6"/>
      <c r="K276" s="6"/>
      <c r="L276" s="6"/>
    </row>
    <row r="277" spans="7:12">
      <c r="G277" s="6"/>
      <c r="H277" s="6"/>
      <c r="I277" s="6"/>
      <c r="J277" s="6"/>
      <c r="K277" s="6"/>
      <c r="L277" s="6"/>
    </row>
    <row r="278" spans="7:12">
      <c r="G278" s="6"/>
      <c r="H278" s="6"/>
      <c r="I278" s="6"/>
      <c r="J278" s="6"/>
      <c r="K278" s="6"/>
      <c r="L278" s="6"/>
    </row>
    <row r="279" spans="7:12">
      <c r="G279" s="6"/>
      <c r="H279" s="6"/>
      <c r="I279" s="6"/>
      <c r="J279" s="6"/>
      <c r="K279" s="6"/>
      <c r="L279" s="6"/>
    </row>
    <row r="280" spans="7:12">
      <c r="G280" s="6"/>
      <c r="H280" s="6"/>
      <c r="I280" s="6"/>
      <c r="J280" s="6"/>
      <c r="K280" s="6"/>
      <c r="L280" s="6"/>
    </row>
    <row r="281" spans="7:12">
      <c r="G281" s="6"/>
      <c r="H281" s="6"/>
      <c r="I281" s="6"/>
      <c r="J281" s="6"/>
      <c r="K281" s="6"/>
      <c r="L281" s="6"/>
    </row>
    <row r="282" spans="7:12">
      <c r="G282" s="6"/>
      <c r="H282" s="6"/>
      <c r="I282" s="6"/>
      <c r="J282" s="6"/>
      <c r="K282" s="6"/>
      <c r="L282" s="6"/>
    </row>
    <row r="283" spans="7:12">
      <c r="G283" s="6"/>
      <c r="H283" s="6"/>
      <c r="I283" s="6"/>
      <c r="J283" s="6"/>
      <c r="K283" s="6"/>
      <c r="L283" s="6"/>
    </row>
    <row r="284" spans="7:12">
      <c r="G284" s="6"/>
      <c r="H284" s="6"/>
      <c r="I284" s="6"/>
      <c r="J284" s="6"/>
      <c r="K284" s="6"/>
      <c r="L284" s="6"/>
    </row>
    <row r="285" spans="7:12">
      <c r="G285" s="6"/>
      <c r="H285" s="6"/>
      <c r="I285" s="6"/>
      <c r="J285" s="6"/>
      <c r="K285" s="6"/>
      <c r="L285" s="6"/>
    </row>
    <row r="286" spans="7:12">
      <c r="G286" s="6"/>
      <c r="H286" s="6"/>
      <c r="I286" s="6"/>
      <c r="J286" s="6"/>
      <c r="K286" s="6"/>
      <c r="L286" s="6"/>
    </row>
    <row r="287" spans="7:12">
      <c r="G287" s="6"/>
      <c r="H287" s="6"/>
      <c r="I287" s="6"/>
      <c r="J287" s="6"/>
      <c r="K287" s="6"/>
      <c r="L287" s="6"/>
    </row>
    <row r="288" spans="7:12">
      <c r="G288" s="6"/>
      <c r="H288" s="6"/>
      <c r="I288" s="6"/>
      <c r="J288" s="6"/>
      <c r="K288" s="6"/>
      <c r="L288" s="6"/>
    </row>
    <row r="289" spans="7:12">
      <c r="G289" s="6"/>
      <c r="H289" s="6"/>
      <c r="I289" s="6"/>
      <c r="J289" s="6"/>
      <c r="K289" s="6"/>
      <c r="L289" s="6"/>
    </row>
    <row r="290" spans="7:12">
      <c r="G290" s="6"/>
      <c r="H290" s="6"/>
      <c r="I290" s="6"/>
      <c r="J290" s="6"/>
      <c r="K290" s="6"/>
      <c r="L290" s="6"/>
    </row>
    <row r="291" spans="7:12">
      <c r="G291" s="6"/>
      <c r="H291" s="6"/>
      <c r="I291" s="6"/>
      <c r="J291" s="6"/>
      <c r="K291" s="6"/>
      <c r="L291" s="6"/>
    </row>
    <row r="292" spans="7:12">
      <c r="G292" s="6"/>
      <c r="H292" s="6"/>
      <c r="I292" s="6"/>
      <c r="J292" s="6"/>
      <c r="K292" s="6"/>
      <c r="L292" s="6"/>
    </row>
    <row r="293" spans="7:12">
      <c r="G293" s="6"/>
      <c r="H293" s="6"/>
      <c r="I293" s="6"/>
      <c r="J293" s="6"/>
      <c r="K293" s="6"/>
      <c r="L293" s="6"/>
    </row>
    <row r="294" spans="7:12">
      <c r="G294" s="6"/>
      <c r="H294" s="6"/>
      <c r="I294" s="6"/>
      <c r="J294" s="6"/>
      <c r="K294" s="6"/>
      <c r="L294" s="6"/>
    </row>
    <row r="295" spans="7:12">
      <c r="G295" s="6"/>
      <c r="H295" s="6"/>
      <c r="I295" s="6"/>
      <c r="J295" s="6"/>
      <c r="K295" s="6"/>
      <c r="L295" s="6"/>
    </row>
    <row r="296" spans="7:12">
      <c r="G296" s="6"/>
      <c r="H296" s="6"/>
      <c r="I296" s="6"/>
      <c r="J296" s="6"/>
      <c r="K296" s="6"/>
      <c r="L296" s="6"/>
    </row>
    <row r="297" spans="7:12">
      <c r="G297" s="6"/>
      <c r="H297" s="6"/>
      <c r="I297" s="6"/>
      <c r="J297" s="6"/>
      <c r="K297" s="6"/>
      <c r="L297" s="6"/>
    </row>
    <row r="298" spans="7:12">
      <c r="G298" s="6"/>
      <c r="H298" s="6"/>
      <c r="I298" s="6"/>
      <c r="J298" s="6"/>
      <c r="K298" s="6"/>
      <c r="L298" s="6"/>
    </row>
    <row r="299" spans="7:12">
      <c r="G299" s="6"/>
      <c r="H299" s="6"/>
      <c r="I299" s="6"/>
      <c r="J299" s="6"/>
      <c r="K299" s="6"/>
      <c r="L299" s="6"/>
    </row>
    <row r="300" spans="7:12">
      <c r="G300" s="6"/>
      <c r="H300" s="6"/>
      <c r="I300" s="6"/>
      <c r="J300" s="6"/>
      <c r="K300" s="6"/>
      <c r="L300" s="6"/>
    </row>
    <row r="301" spans="7:12">
      <c r="G301" s="6"/>
      <c r="H301" s="6"/>
      <c r="I301" s="6"/>
      <c r="J301" s="6"/>
      <c r="K301" s="6"/>
      <c r="L301" s="6"/>
    </row>
    <row r="302" spans="7:12">
      <c r="G302" s="6"/>
      <c r="H302" s="6"/>
      <c r="I302" s="6"/>
      <c r="J302" s="6"/>
      <c r="K302" s="6"/>
      <c r="L302" s="6"/>
    </row>
    <row r="303" spans="7:12">
      <c r="G303" s="6"/>
      <c r="H303" s="6"/>
      <c r="I303" s="6"/>
      <c r="J303" s="6"/>
      <c r="K303" s="6"/>
      <c r="L303" s="6"/>
    </row>
    <row r="304" spans="7:12">
      <c r="G304" s="6"/>
      <c r="H304" s="6"/>
      <c r="I304" s="6"/>
      <c r="J304" s="6"/>
      <c r="K304" s="6"/>
      <c r="L304" s="6"/>
    </row>
    <row r="305" spans="7:12">
      <c r="G305" s="6"/>
      <c r="H305" s="6"/>
      <c r="I305" s="6"/>
      <c r="J305" s="6"/>
      <c r="K305" s="6"/>
      <c r="L305" s="6"/>
    </row>
    <row r="306" spans="7:12">
      <c r="G306" s="6"/>
      <c r="H306" s="6"/>
      <c r="I306" s="6"/>
      <c r="J306" s="6"/>
      <c r="K306" s="6"/>
      <c r="L306" s="6"/>
    </row>
    <row r="307" spans="7:12">
      <c r="G307" s="6"/>
      <c r="H307" s="6"/>
      <c r="I307" s="6"/>
      <c r="J307" s="6"/>
      <c r="K307" s="6"/>
      <c r="L307" s="6"/>
    </row>
    <row r="308" spans="7:12">
      <c r="G308" s="6"/>
      <c r="H308" s="6"/>
      <c r="I308" s="6"/>
      <c r="J308" s="6"/>
      <c r="K308" s="6"/>
      <c r="L308" s="6"/>
    </row>
    <row r="309" spans="7:12">
      <c r="G309" s="6"/>
      <c r="H309" s="6"/>
      <c r="I309" s="6"/>
      <c r="J309" s="6"/>
      <c r="K309" s="6"/>
      <c r="L309" s="6"/>
    </row>
    <row r="310" spans="7:12">
      <c r="G310" s="6"/>
      <c r="H310" s="6"/>
      <c r="I310" s="6"/>
      <c r="J310" s="6"/>
      <c r="K310" s="6"/>
      <c r="L310" s="6"/>
    </row>
    <row r="311" spans="7:12">
      <c r="G311" s="6"/>
      <c r="H311" s="6"/>
      <c r="I311" s="6"/>
      <c r="J311" s="6"/>
      <c r="K311" s="6"/>
      <c r="L311" s="6"/>
    </row>
    <row r="312" spans="7:12">
      <c r="G312" s="6"/>
      <c r="H312" s="6"/>
      <c r="I312" s="6"/>
      <c r="J312" s="6"/>
      <c r="K312" s="6"/>
      <c r="L312" s="6"/>
    </row>
    <row r="313" spans="7:12">
      <c r="G313" s="6"/>
      <c r="H313" s="6"/>
      <c r="I313" s="6"/>
      <c r="J313" s="6"/>
      <c r="K313" s="6"/>
      <c r="L313" s="6"/>
    </row>
    <row r="314" spans="7:12">
      <c r="G314" s="6"/>
      <c r="H314" s="6"/>
      <c r="I314" s="6"/>
      <c r="J314" s="6"/>
      <c r="K314" s="6"/>
      <c r="L314" s="6"/>
    </row>
    <row r="315" spans="7:12">
      <c r="G315" s="6"/>
      <c r="H315" s="6"/>
      <c r="I315" s="6"/>
      <c r="J315" s="6"/>
      <c r="K315" s="6"/>
      <c r="L315" s="6"/>
    </row>
    <row r="316" spans="7:12">
      <c r="G316" s="6"/>
      <c r="H316" s="6"/>
      <c r="I316" s="6"/>
      <c r="J316" s="6"/>
      <c r="K316" s="6"/>
      <c r="L316" s="6"/>
    </row>
    <row r="317" spans="7:12">
      <c r="G317" s="6"/>
      <c r="H317" s="6"/>
      <c r="I317" s="6"/>
      <c r="J317" s="6"/>
      <c r="K317" s="6"/>
      <c r="L317" s="6"/>
    </row>
    <row r="318" spans="7:12">
      <c r="G318" s="6"/>
      <c r="H318" s="6"/>
      <c r="I318" s="6"/>
      <c r="J318" s="6"/>
      <c r="K318" s="6"/>
      <c r="L318" s="6"/>
    </row>
    <row r="319" spans="7:12">
      <c r="G319" s="6"/>
      <c r="H319" s="6"/>
      <c r="I319" s="6"/>
      <c r="J319" s="6"/>
      <c r="K319" s="6"/>
      <c r="L319" s="6"/>
    </row>
    <row r="320" spans="7:12">
      <c r="G320" s="6"/>
      <c r="H320" s="6"/>
      <c r="I320" s="6"/>
      <c r="J320" s="6"/>
      <c r="K320" s="6"/>
      <c r="L320" s="6"/>
    </row>
    <row r="321" spans="7:12">
      <c r="G321" s="6"/>
      <c r="H321" s="6"/>
      <c r="I321" s="6"/>
      <c r="J321" s="6"/>
      <c r="K321" s="6"/>
      <c r="L321" s="6"/>
    </row>
    <row r="322" spans="7:12">
      <c r="G322" s="6"/>
      <c r="H322" s="6"/>
      <c r="I322" s="6"/>
      <c r="J322" s="6"/>
      <c r="K322" s="6"/>
      <c r="L322" s="6"/>
    </row>
    <row r="323" spans="7:12">
      <c r="G323" s="6"/>
      <c r="H323" s="6"/>
      <c r="I323" s="6"/>
      <c r="J323" s="6"/>
      <c r="K323" s="6"/>
      <c r="L323" s="6"/>
    </row>
    <row r="324" spans="7:12">
      <c r="G324" s="6"/>
      <c r="H324" s="6"/>
      <c r="I324" s="6"/>
      <c r="J324" s="6"/>
      <c r="K324" s="6"/>
      <c r="L324" s="6"/>
    </row>
    <row r="325" spans="7:12">
      <c r="G325" s="6"/>
      <c r="H325" s="6"/>
      <c r="I325" s="6"/>
      <c r="J325" s="6"/>
      <c r="K325" s="6"/>
      <c r="L325" s="6"/>
    </row>
    <row r="326" spans="7:12">
      <c r="G326" s="6"/>
      <c r="H326" s="6"/>
      <c r="I326" s="6"/>
      <c r="J326" s="6"/>
      <c r="K326" s="6"/>
      <c r="L326" s="6"/>
    </row>
    <row r="327" spans="7:12">
      <c r="G327" s="6"/>
      <c r="H327" s="6"/>
      <c r="I327" s="6"/>
      <c r="J327" s="6"/>
      <c r="K327" s="6"/>
      <c r="L327" s="6"/>
    </row>
    <row r="328" spans="7:12">
      <c r="G328" s="6"/>
      <c r="H328" s="6"/>
      <c r="I328" s="6"/>
      <c r="J328" s="6"/>
      <c r="K328" s="6"/>
      <c r="L328" s="6"/>
    </row>
    <row r="329" spans="7:12">
      <c r="G329" s="6"/>
      <c r="H329" s="6"/>
      <c r="I329" s="6"/>
      <c r="J329" s="6"/>
      <c r="K329" s="6"/>
      <c r="L329" s="6"/>
    </row>
    <row r="330" spans="7:12">
      <c r="G330" s="6"/>
      <c r="H330" s="6"/>
      <c r="I330" s="6"/>
      <c r="J330" s="6"/>
      <c r="K330" s="6"/>
      <c r="L330" s="6"/>
    </row>
    <row r="331" spans="7:12">
      <c r="G331" s="6"/>
      <c r="H331" s="6"/>
      <c r="I331" s="6"/>
      <c r="J331" s="6"/>
      <c r="K331" s="6"/>
      <c r="L331" s="6"/>
    </row>
    <row r="332" spans="7:12">
      <c r="G332" s="6"/>
      <c r="H332" s="6"/>
      <c r="I332" s="6"/>
      <c r="J332" s="6"/>
      <c r="K332" s="6"/>
      <c r="L332" s="6"/>
    </row>
    <row r="333" spans="7:12">
      <c r="G333" s="6"/>
      <c r="H333" s="6"/>
      <c r="I333" s="6"/>
      <c r="J333" s="6"/>
      <c r="K333" s="6"/>
      <c r="L333" s="6"/>
    </row>
    <row r="334" spans="7:12">
      <c r="G334" s="6"/>
      <c r="H334" s="6"/>
      <c r="I334" s="6"/>
      <c r="J334" s="6"/>
      <c r="K334" s="6"/>
      <c r="L334" s="6"/>
    </row>
    <row r="335" spans="7:12">
      <c r="G335" s="6"/>
      <c r="H335" s="6"/>
      <c r="I335" s="6"/>
      <c r="J335" s="6"/>
      <c r="K335" s="6"/>
      <c r="L335" s="6"/>
    </row>
    <row r="336" spans="7:12">
      <c r="G336" s="6"/>
      <c r="H336" s="6"/>
      <c r="I336" s="6"/>
      <c r="J336" s="6"/>
      <c r="K336" s="6"/>
      <c r="L336" s="6"/>
    </row>
    <row r="337" spans="7:12">
      <c r="G337" s="6"/>
      <c r="H337" s="6"/>
      <c r="I337" s="6"/>
      <c r="J337" s="6"/>
      <c r="K337" s="6"/>
      <c r="L337" s="6"/>
    </row>
    <row r="338" spans="7:12">
      <c r="G338" s="6"/>
      <c r="H338" s="6"/>
      <c r="I338" s="6"/>
      <c r="J338" s="6"/>
      <c r="K338" s="6"/>
      <c r="L338" s="6"/>
    </row>
    <row r="339" spans="7:12">
      <c r="G339" s="6"/>
      <c r="H339" s="6"/>
      <c r="I339" s="6"/>
      <c r="J339" s="6"/>
      <c r="K339" s="6"/>
      <c r="L339" s="6"/>
    </row>
    <row r="340" spans="7:12">
      <c r="G340" s="6"/>
      <c r="H340" s="6"/>
      <c r="I340" s="6"/>
      <c r="J340" s="6"/>
      <c r="K340" s="6"/>
      <c r="L340" s="6"/>
    </row>
    <row r="341" spans="7:12">
      <c r="G341" s="6"/>
      <c r="H341" s="6"/>
      <c r="I341" s="6"/>
      <c r="J341" s="6"/>
      <c r="K341" s="6"/>
      <c r="L341" s="6"/>
    </row>
    <row r="342" spans="7:12">
      <c r="G342" s="6"/>
      <c r="H342" s="6"/>
      <c r="I342" s="6"/>
      <c r="J342" s="6"/>
      <c r="K342" s="6"/>
      <c r="L342" s="6"/>
    </row>
    <row r="343" spans="7:12">
      <c r="G343" s="6"/>
      <c r="H343" s="6"/>
      <c r="I343" s="6"/>
      <c r="J343" s="6"/>
      <c r="K343" s="6"/>
      <c r="L343" s="6"/>
    </row>
    <row r="344" spans="7:12">
      <c r="G344" s="6"/>
      <c r="H344" s="6"/>
      <c r="I344" s="6"/>
      <c r="J344" s="6"/>
      <c r="K344" s="6"/>
      <c r="L344" s="6"/>
    </row>
    <row r="345" spans="7:12">
      <c r="G345" s="6"/>
      <c r="H345" s="6"/>
      <c r="I345" s="6"/>
      <c r="J345" s="6"/>
      <c r="K345" s="6"/>
      <c r="L345" s="6"/>
    </row>
    <row r="346" spans="7:12">
      <c r="G346" s="6"/>
      <c r="H346" s="6"/>
      <c r="I346" s="6"/>
      <c r="J346" s="6"/>
      <c r="K346" s="6"/>
      <c r="L346" s="6"/>
    </row>
    <row r="347" spans="7:12">
      <c r="G347" s="6"/>
      <c r="H347" s="6"/>
      <c r="I347" s="6"/>
      <c r="J347" s="6"/>
      <c r="K347" s="6"/>
      <c r="L347" s="6"/>
    </row>
    <row r="348" spans="7:12">
      <c r="G348" s="6"/>
      <c r="H348" s="6"/>
      <c r="I348" s="6"/>
      <c r="J348" s="6"/>
      <c r="K348" s="6"/>
      <c r="L348" s="6"/>
    </row>
    <row r="349" spans="7:12">
      <c r="G349" s="6"/>
      <c r="H349" s="6"/>
      <c r="I349" s="6"/>
      <c r="J349" s="6"/>
      <c r="K349" s="6"/>
      <c r="L349" s="6"/>
    </row>
    <row r="350" spans="7:12">
      <c r="G350" s="6"/>
      <c r="H350" s="6"/>
      <c r="I350" s="6"/>
      <c r="J350" s="6"/>
      <c r="K350" s="6"/>
      <c r="L350" s="6"/>
    </row>
    <row r="351" spans="7:12">
      <c r="G351" s="6"/>
      <c r="H351" s="6"/>
      <c r="I351" s="6"/>
      <c r="J351" s="6"/>
      <c r="K351" s="6"/>
      <c r="L351" s="6"/>
    </row>
    <row r="352" spans="7:12">
      <c r="G352" s="6"/>
      <c r="H352" s="6"/>
      <c r="I352" s="6"/>
      <c r="J352" s="6"/>
      <c r="K352" s="6"/>
      <c r="L352" s="6"/>
    </row>
    <row r="353" spans="7:12">
      <c r="G353" s="6"/>
      <c r="H353" s="6"/>
      <c r="I353" s="6"/>
      <c r="J353" s="6"/>
      <c r="K353" s="6"/>
      <c r="L353" s="6"/>
    </row>
    <row r="354" spans="7:12">
      <c r="G354" s="6"/>
      <c r="H354" s="6"/>
      <c r="I354" s="6"/>
      <c r="J354" s="6"/>
      <c r="K354" s="6"/>
      <c r="L354" s="6"/>
    </row>
    <row r="355" spans="7:12">
      <c r="G355" s="6"/>
      <c r="H355" s="6"/>
      <c r="I355" s="6"/>
      <c r="J355" s="6"/>
      <c r="K355" s="6"/>
      <c r="L355" s="6"/>
    </row>
    <row r="356" spans="7:12">
      <c r="G356" s="6"/>
      <c r="H356" s="6"/>
      <c r="I356" s="6"/>
      <c r="J356" s="6"/>
      <c r="K356" s="6"/>
      <c r="L356" s="6"/>
    </row>
    <row r="357" spans="7:12">
      <c r="G357" s="6"/>
      <c r="H357" s="6"/>
      <c r="I357" s="6"/>
      <c r="J357" s="6"/>
      <c r="K357" s="6"/>
      <c r="L357" s="6"/>
    </row>
    <row r="358" spans="7:12">
      <c r="G358" s="6"/>
      <c r="H358" s="6"/>
      <c r="I358" s="6"/>
      <c r="J358" s="6"/>
      <c r="K358" s="6"/>
      <c r="L358" s="6"/>
    </row>
    <row r="359" spans="7:12">
      <c r="G359" s="6"/>
      <c r="H359" s="6"/>
      <c r="I359" s="6"/>
      <c r="J359" s="6"/>
      <c r="K359" s="6"/>
      <c r="L359" s="6"/>
    </row>
    <row r="360" spans="7:12">
      <c r="G360" s="6"/>
      <c r="H360" s="6"/>
      <c r="I360" s="6"/>
      <c r="J360" s="6"/>
      <c r="K360" s="6"/>
      <c r="L360" s="6"/>
    </row>
    <row r="361" spans="7:12">
      <c r="G361" s="6"/>
      <c r="H361" s="6"/>
      <c r="I361" s="6"/>
      <c r="J361" s="6"/>
      <c r="K361" s="6"/>
      <c r="L361" s="6"/>
    </row>
    <row r="362" spans="7:12">
      <c r="G362" s="6"/>
      <c r="H362" s="6"/>
      <c r="I362" s="6"/>
      <c r="J362" s="6"/>
      <c r="K362" s="6"/>
      <c r="L362" s="6"/>
    </row>
    <row r="363" spans="7:12">
      <c r="G363" s="6"/>
      <c r="H363" s="6"/>
      <c r="I363" s="6"/>
      <c r="J363" s="6"/>
      <c r="K363" s="6"/>
      <c r="L363" s="6"/>
    </row>
    <row r="364" spans="7:12">
      <c r="G364" s="6"/>
      <c r="H364" s="6"/>
      <c r="I364" s="6"/>
      <c r="J364" s="6"/>
      <c r="K364" s="6"/>
      <c r="L364" s="6"/>
    </row>
    <row r="365" spans="7:12">
      <c r="G365" s="6"/>
      <c r="H365" s="6"/>
      <c r="I365" s="6"/>
      <c r="J365" s="6"/>
      <c r="K365" s="6"/>
      <c r="L365" s="6"/>
    </row>
    <row r="366" spans="7:12">
      <c r="G366" s="6"/>
      <c r="H366" s="6"/>
      <c r="I366" s="6"/>
      <c r="J366" s="6"/>
      <c r="K366" s="6"/>
      <c r="L366" s="6"/>
    </row>
    <row r="367" spans="7:12">
      <c r="G367" s="6"/>
      <c r="H367" s="6"/>
      <c r="I367" s="6"/>
      <c r="J367" s="6"/>
      <c r="K367" s="6"/>
      <c r="L367" s="6"/>
    </row>
    <row r="368" spans="7:12">
      <c r="G368" s="6"/>
      <c r="H368" s="6"/>
      <c r="I368" s="6"/>
      <c r="J368" s="6"/>
      <c r="K368" s="6"/>
      <c r="L368" s="6"/>
    </row>
    <row r="369" spans="7:12">
      <c r="G369" s="6"/>
      <c r="H369" s="6"/>
      <c r="I369" s="6"/>
      <c r="J369" s="6"/>
      <c r="K369" s="6"/>
      <c r="L369" s="6"/>
    </row>
    <row r="370" spans="7:12">
      <c r="G370" s="6"/>
      <c r="H370" s="6"/>
      <c r="I370" s="6"/>
      <c r="J370" s="6"/>
      <c r="K370" s="6"/>
      <c r="L370" s="6"/>
    </row>
    <row r="371" spans="7:12">
      <c r="G371" s="6"/>
      <c r="H371" s="6"/>
      <c r="I371" s="6"/>
      <c r="J371" s="6"/>
      <c r="K371" s="6"/>
      <c r="L371" s="6"/>
    </row>
    <row r="372" spans="7:12">
      <c r="G372" s="6"/>
      <c r="H372" s="6"/>
      <c r="I372" s="6"/>
      <c r="J372" s="6"/>
      <c r="K372" s="6"/>
      <c r="L372" s="6"/>
    </row>
    <row r="373" spans="7:12">
      <c r="G373" s="6"/>
      <c r="H373" s="6"/>
      <c r="I373" s="6"/>
      <c r="J373" s="6"/>
      <c r="K373" s="6"/>
      <c r="L373" s="6"/>
    </row>
    <row r="374" spans="7:12">
      <c r="G374" s="6"/>
      <c r="H374" s="6"/>
      <c r="I374" s="6"/>
      <c r="J374" s="6"/>
      <c r="K374" s="6"/>
      <c r="L374" s="6"/>
    </row>
    <row r="375" spans="7:12">
      <c r="G375" s="6"/>
      <c r="H375" s="6"/>
      <c r="I375" s="6"/>
      <c r="J375" s="6"/>
      <c r="K375" s="6"/>
      <c r="L375" s="6"/>
    </row>
    <row r="376" spans="7:12">
      <c r="G376" s="6"/>
      <c r="H376" s="6"/>
      <c r="I376" s="6"/>
      <c r="J376" s="6"/>
      <c r="K376" s="6"/>
      <c r="L376" s="6"/>
    </row>
    <row r="377" spans="7:12">
      <c r="G377" s="6"/>
      <c r="H377" s="6"/>
      <c r="I377" s="6"/>
      <c r="J377" s="6"/>
      <c r="K377" s="6"/>
      <c r="L377" s="6"/>
    </row>
    <row r="378" spans="7:12">
      <c r="G378" s="6"/>
      <c r="H378" s="6"/>
      <c r="I378" s="6"/>
      <c r="J378" s="6"/>
      <c r="K378" s="6"/>
      <c r="L378" s="6"/>
    </row>
    <row r="379" spans="7:12">
      <c r="G379" s="6"/>
      <c r="H379" s="6"/>
      <c r="I379" s="6"/>
      <c r="J379" s="6"/>
      <c r="K379" s="6"/>
      <c r="L379" s="6"/>
    </row>
    <row r="380" spans="7:12">
      <c r="G380" s="6"/>
      <c r="H380" s="6"/>
      <c r="I380" s="6"/>
      <c r="J380" s="6"/>
      <c r="K380" s="6"/>
      <c r="L380" s="6"/>
    </row>
    <row r="381" spans="7:12">
      <c r="G381" s="6"/>
      <c r="H381" s="6"/>
      <c r="I381" s="6"/>
      <c r="J381" s="6"/>
      <c r="K381" s="6"/>
      <c r="L381" s="6"/>
    </row>
    <row r="382" spans="7:12">
      <c r="G382" s="6"/>
      <c r="H382" s="6"/>
      <c r="I382" s="6"/>
      <c r="J382" s="6"/>
      <c r="K382" s="6"/>
      <c r="L382" s="6"/>
    </row>
    <row r="383" spans="7:12">
      <c r="G383" s="6"/>
      <c r="H383" s="6"/>
      <c r="I383" s="6"/>
      <c r="J383" s="6"/>
      <c r="K383" s="6"/>
      <c r="L383" s="6"/>
    </row>
    <row r="384" spans="7:12">
      <c r="G384" s="6"/>
      <c r="H384" s="6"/>
      <c r="I384" s="6"/>
      <c r="J384" s="6"/>
      <c r="K384" s="6"/>
      <c r="L384" s="6"/>
    </row>
    <row r="385" spans="7:12">
      <c r="G385" s="6"/>
      <c r="H385" s="6"/>
      <c r="I385" s="6"/>
      <c r="J385" s="6"/>
      <c r="K385" s="6"/>
      <c r="L385" s="6"/>
    </row>
    <row r="386" spans="7:12">
      <c r="G386" s="6"/>
      <c r="H386" s="6"/>
      <c r="I386" s="6"/>
      <c r="J386" s="6"/>
      <c r="K386" s="6"/>
      <c r="L386" s="6"/>
    </row>
    <row r="387" spans="7:12">
      <c r="G387" s="6"/>
      <c r="H387" s="6"/>
      <c r="I387" s="6"/>
      <c r="J387" s="6"/>
      <c r="K387" s="6"/>
      <c r="L387" s="6"/>
    </row>
    <row r="388" spans="7:12">
      <c r="G388" s="6"/>
      <c r="H388" s="6"/>
      <c r="I388" s="6"/>
      <c r="J388" s="6"/>
      <c r="K388" s="6"/>
      <c r="L388" s="6"/>
    </row>
    <row r="389" spans="7:12">
      <c r="G389" s="6"/>
      <c r="H389" s="6"/>
      <c r="I389" s="6"/>
      <c r="J389" s="6"/>
      <c r="K389" s="6"/>
      <c r="L389" s="6"/>
    </row>
    <row r="390" spans="7:12">
      <c r="G390" s="6"/>
      <c r="H390" s="6"/>
      <c r="I390" s="6"/>
      <c r="J390" s="6"/>
      <c r="K390" s="6"/>
      <c r="L390" s="6"/>
    </row>
    <row r="391" spans="7:12">
      <c r="G391" s="6"/>
      <c r="H391" s="6"/>
      <c r="I391" s="6"/>
      <c r="J391" s="6"/>
      <c r="K391" s="6"/>
      <c r="L391" s="6"/>
    </row>
    <row r="392" spans="7:12">
      <c r="G392" s="6"/>
      <c r="H392" s="6"/>
      <c r="I392" s="6"/>
      <c r="J392" s="6"/>
      <c r="K392" s="6"/>
      <c r="L392" s="6"/>
    </row>
    <row r="393" spans="7:12">
      <c r="G393" s="6"/>
      <c r="H393" s="6"/>
      <c r="I393" s="6"/>
      <c r="J393" s="6"/>
      <c r="K393" s="6"/>
      <c r="L393" s="6"/>
    </row>
    <row r="394" spans="7:12">
      <c r="G394" s="6"/>
      <c r="H394" s="6"/>
      <c r="I394" s="6"/>
      <c r="J394" s="6"/>
      <c r="K394" s="6"/>
      <c r="L394" s="6"/>
    </row>
    <row r="395" spans="7:12">
      <c r="G395" s="6"/>
      <c r="H395" s="6"/>
      <c r="I395" s="6"/>
      <c r="J395" s="6"/>
      <c r="K395" s="6"/>
      <c r="L395" s="6"/>
    </row>
    <row r="396" spans="7:12">
      <c r="G396" s="6"/>
      <c r="H396" s="6"/>
      <c r="I396" s="6"/>
      <c r="J396" s="6"/>
      <c r="K396" s="6"/>
      <c r="L396" s="6"/>
    </row>
    <row r="397" spans="7:12">
      <c r="G397" s="6"/>
      <c r="H397" s="6"/>
      <c r="I397" s="6"/>
      <c r="J397" s="6"/>
      <c r="K397" s="6"/>
      <c r="L397" s="6"/>
    </row>
    <row r="398" spans="7:12">
      <c r="G398" s="6"/>
      <c r="H398" s="6"/>
      <c r="I398" s="6"/>
      <c r="J398" s="6"/>
      <c r="K398" s="6"/>
      <c r="L398" s="6"/>
    </row>
    <row r="399" spans="7:12">
      <c r="G399" s="6"/>
      <c r="H399" s="6"/>
      <c r="I399" s="6"/>
      <c r="J399" s="6"/>
      <c r="K399" s="6"/>
      <c r="L399" s="6"/>
    </row>
    <row r="400" spans="7:12">
      <c r="G400" s="6"/>
      <c r="H400" s="6"/>
      <c r="I400" s="6"/>
      <c r="J400" s="6"/>
      <c r="K400" s="6"/>
      <c r="L400" s="6"/>
    </row>
    <row r="401" spans="7:12">
      <c r="G401" s="6"/>
      <c r="H401" s="6"/>
      <c r="I401" s="6"/>
      <c r="J401" s="6"/>
      <c r="K401" s="6"/>
      <c r="L401" s="6"/>
    </row>
    <row r="402" spans="7:12">
      <c r="G402" s="6"/>
      <c r="H402" s="6"/>
      <c r="I402" s="6"/>
      <c r="J402" s="6"/>
      <c r="K402" s="6"/>
      <c r="L402" s="6"/>
    </row>
    <row r="403" spans="7:12">
      <c r="G403" s="6"/>
      <c r="H403" s="6"/>
      <c r="I403" s="6"/>
      <c r="J403" s="6"/>
      <c r="K403" s="6"/>
      <c r="L403" s="6"/>
    </row>
    <row r="404" spans="7:12">
      <c r="G404" s="6"/>
      <c r="H404" s="6"/>
      <c r="I404" s="6"/>
      <c r="J404" s="6"/>
      <c r="K404" s="6"/>
      <c r="L404" s="6"/>
    </row>
    <row r="405" spans="7:12">
      <c r="G405" s="6"/>
      <c r="H405" s="6"/>
      <c r="I405" s="6"/>
      <c r="J405" s="6"/>
      <c r="K405" s="6"/>
      <c r="L405" s="6"/>
    </row>
    <row r="406" spans="7:12">
      <c r="G406" s="6"/>
      <c r="H406" s="6"/>
      <c r="I406" s="6"/>
      <c r="J406" s="6"/>
      <c r="K406" s="6"/>
      <c r="L406" s="6"/>
    </row>
    <row r="407" spans="7:12">
      <c r="G407" s="6"/>
      <c r="H407" s="6"/>
      <c r="I407" s="6"/>
      <c r="J407" s="6"/>
      <c r="K407" s="6"/>
      <c r="L407" s="6"/>
    </row>
    <row r="408" spans="7:12">
      <c r="G408" s="6"/>
      <c r="H408" s="6"/>
      <c r="I408" s="6"/>
      <c r="J408" s="6"/>
      <c r="K408" s="6"/>
      <c r="L408" s="6"/>
    </row>
    <row r="409" spans="7:12">
      <c r="G409" s="6"/>
      <c r="H409" s="6"/>
      <c r="I409" s="6"/>
      <c r="J409" s="6"/>
      <c r="K409" s="6"/>
      <c r="L409" s="6"/>
    </row>
    <row r="410" spans="7:12">
      <c r="G410" s="6"/>
      <c r="H410" s="6"/>
      <c r="I410" s="6"/>
      <c r="J410" s="6"/>
      <c r="K410" s="6"/>
      <c r="L410" s="6"/>
    </row>
    <row r="411" spans="7:12">
      <c r="G411" s="6"/>
      <c r="H411" s="6"/>
      <c r="I411" s="6"/>
      <c r="J411" s="6"/>
      <c r="K411" s="6"/>
      <c r="L411" s="6"/>
    </row>
    <row r="412" spans="7:12">
      <c r="G412" s="6"/>
      <c r="H412" s="6"/>
      <c r="I412" s="6"/>
      <c r="J412" s="6"/>
      <c r="K412" s="6"/>
      <c r="L412" s="6"/>
    </row>
    <row r="413" spans="7:12">
      <c r="G413" s="6"/>
      <c r="H413" s="6"/>
      <c r="I413" s="6"/>
      <c r="J413" s="6"/>
      <c r="K413" s="6"/>
      <c r="L413" s="6"/>
    </row>
    <row r="414" spans="7:12">
      <c r="G414" s="6"/>
      <c r="H414" s="6"/>
      <c r="I414" s="6"/>
      <c r="J414" s="6"/>
      <c r="K414" s="6"/>
      <c r="L414" s="6"/>
    </row>
    <row r="415" spans="7:12">
      <c r="G415" s="6"/>
      <c r="H415" s="6"/>
      <c r="I415" s="6"/>
      <c r="J415" s="6"/>
      <c r="K415" s="6"/>
      <c r="L415" s="6"/>
    </row>
    <row r="416" spans="7:12">
      <c r="G416" s="6"/>
      <c r="H416" s="6"/>
      <c r="I416" s="6"/>
      <c r="J416" s="6"/>
      <c r="K416" s="6"/>
      <c r="L416" s="6"/>
    </row>
    <row r="417" spans="7:12">
      <c r="G417" s="6"/>
      <c r="H417" s="6"/>
      <c r="I417" s="6"/>
      <c r="J417" s="6"/>
      <c r="K417" s="6"/>
      <c r="L417" s="6"/>
    </row>
    <row r="418" spans="7:12">
      <c r="G418" s="6"/>
      <c r="H418" s="6"/>
      <c r="I418" s="6"/>
      <c r="J418" s="6"/>
      <c r="K418" s="6"/>
      <c r="L418" s="6"/>
    </row>
    <row r="419" spans="7:12">
      <c r="G419" s="6"/>
      <c r="H419" s="6"/>
      <c r="I419" s="6"/>
      <c r="J419" s="6"/>
      <c r="K419" s="6"/>
      <c r="L419" s="6"/>
    </row>
    <row r="420" spans="7:12">
      <c r="G420" s="6"/>
      <c r="H420" s="6"/>
      <c r="I420" s="6"/>
      <c r="J420" s="6"/>
      <c r="K420" s="6"/>
      <c r="L420" s="6"/>
    </row>
    <row r="421" spans="7:12">
      <c r="G421" s="6"/>
      <c r="H421" s="6"/>
      <c r="I421" s="6"/>
      <c r="J421" s="6"/>
      <c r="K421" s="6"/>
      <c r="L421" s="6"/>
    </row>
    <row r="422" spans="7:12">
      <c r="G422" s="6"/>
      <c r="H422" s="6"/>
      <c r="I422" s="6"/>
      <c r="J422" s="6"/>
      <c r="K422" s="6"/>
      <c r="L422" s="6"/>
    </row>
    <row r="423" spans="7:12">
      <c r="G423" s="6"/>
      <c r="H423" s="6"/>
      <c r="I423" s="6"/>
      <c r="J423" s="6"/>
      <c r="K423" s="6"/>
      <c r="L423" s="6"/>
    </row>
    <row r="424" spans="7:12">
      <c r="G424" s="6"/>
      <c r="H424" s="6"/>
      <c r="I424" s="6"/>
      <c r="J424" s="6"/>
      <c r="K424" s="6"/>
      <c r="L424" s="6"/>
    </row>
    <row r="425" spans="7:12">
      <c r="G425" s="6"/>
      <c r="H425" s="6"/>
      <c r="I425" s="6"/>
      <c r="J425" s="6"/>
      <c r="K425" s="6"/>
      <c r="L425" s="6"/>
    </row>
    <row r="426" spans="7:12">
      <c r="G426" s="6"/>
      <c r="H426" s="6"/>
      <c r="I426" s="6"/>
      <c r="J426" s="6"/>
      <c r="K426" s="6"/>
      <c r="L426" s="6"/>
    </row>
    <row r="427" spans="7:12">
      <c r="G427" s="6"/>
      <c r="H427" s="6"/>
      <c r="I427" s="6"/>
      <c r="J427" s="6"/>
      <c r="K427" s="6"/>
      <c r="L427" s="6"/>
    </row>
    <row r="428" spans="7:12">
      <c r="G428" s="6"/>
      <c r="H428" s="6"/>
      <c r="I428" s="6"/>
      <c r="J428" s="6"/>
      <c r="K428" s="6"/>
      <c r="L428" s="6"/>
    </row>
    <row r="429" spans="7:12">
      <c r="G429" s="6"/>
      <c r="H429" s="6"/>
      <c r="I429" s="6"/>
      <c r="J429" s="6"/>
      <c r="K429" s="6"/>
      <c r="L429" s="6"/>
    </row>
    <row r="430" spans="7:12">
      <c r="G430" s="6"/>
      <c r="H430" s="6"/>
      <c r="I430" s="6"/>
      <c r="J430" s="6"/>
      <c r="K430" s="6"/>
      <c r="L430" s="6"/>
    </row>
    <row r="431" spans="7:12">
      <c r="G431" s="6"/>
      <c r="H431" s="6"/>
      <c r="I431" s="6"/>
      <c r="J431" s="6"/>
      <c r="K431" s="6"/>
      <c r="L431" s="6"/>
    </row>
    <row r="432" spans="7:12">
      <c r="G432" s="6"/>
      <c r="H432" s="6"/>
      <c r="I432" s="6"/>
      <c r="J432" s="6"/>
      <c r="K432" s="6"/>
      <c r="L432" s="6"/>
    </row>
    <row r="433" spans="7:12">
      <c r="G433" s="6"/>
      <c r="H433" s="6"/>
      <c r="I433" s="6"/>
      <c r="J433" s="6"/>
      <c r="K433" s="6"/>
      <c r="L433" s="6"/>
    </row>
    <row r="434" spans="7:12">
      <c r="G434" s="6"/>
      <c r="H434" s="6"/>
      <c r="I434" s="6"/>
      <c r="J434" s="6"/>
      <c r="K434" s="6"/>
      <c r="L434" s="6"/>
    </row>
    <row r="435" spans="7:12">
      <c r="G435" s="6"/>
      <c r="H435" s="6"/>
      <c r="I435" s="6"/>
      <c r="J435" s="6"/>
      <c r="K435" s="6"/>
      <c r="L435" s="6"/>
    </row>
    <row r="436" spans="7:12">
      <c r="G436" s="6"/>
      <c r="H436" s="6"/>
      <c r="I436" s="6"/>
      <c r="J436" s="6"/>
      <c r="K436" s="6"/>
      <c r="L436" s="6"/>
    </row>
    <row r="437" spans="7:12">
      <c r="G437" s="6"/>
      <c r="H437" s="6"/>
      <c r="I437" s="6"/>
      <c r="J437" s="6"/>
      <c r="K437" s="6"/>
      <c r="L437" s="6"/>
    </row>
    <row r="438" spans="7:12">
      <c r="G438" s="6"/>
      <c r="H438" s="6"/>
      <c r="I438" s="6"/>
      <c r="J438" s="6"/>
      <c r="K438" s="6"/>
      <c r="L438" s="6"/>
    </row>
    <row r="439" spans="7:12">
      <c r="G439" s="6"/>
      <c r="H439" s="6"/>
      <c r="I439" s="6"/>
      <c r="J439" s="6"/>
      <c r="K439" s="6"/>
      <c r="L439" s="6"/>
    </row>
    <row r="440" spans="7:12">
      <c r="G440" s="6"/>
      <c r="H440" s="6"/>
      <c r="I440" s="6"/>
      <c r="J440" s="6"/>
      <c r="K440" s="6"/>
      <c r="L440" s="6"/>
    </row>
    <row r="441" spans="7:12">
      <c r="G441" s="6"/>
      <c r="H441" s="6"/>
      <c r="I441" s="6"/>
      <c r="J441" s="6"/>
      <c r="K441" s="6"/>
      <c r="L441" s="6"/>
    </row>
    <row r="442" spans="7:12">
      <c r="G442" s="6"/>
      <c r="H442" s="6"/>
      <c r="I442" s="6"/>
      <c r="J442" s="6"/>
      <c r="K442" s="6"/>
      <c r="L442" s="6"/>
    </row>
    <row r="443" spans="7:12">
      <c r="G443" s="6"/>
      <c r="H443" s="6"/>
      <c r="I443" s="6"/>
      <c r="J443" s="6"/>
      <c r="K443" s="6"/>
      <c r="L443" s="6"/>
    </row>
    <row r="444" spans="7:12">
      <c r="G444" s="6"/>
      <c r="H444" s="6"/>
      <c r="I444" s="6"/>
      <c r="J444" s="6"/>
      <c r="K444" s="6"/>
      <c r="L444" s="6"/>
    </row>
    <row r="445" spans="7:12">
      <c r="G445" s="6"/>
      <c r="H445" s="6"/>
      <c r="I445" s="6"/>
      <c r="J445" s="6"/>
      <c r="K445" s="6"/>
      <c r="L445" s="6"/>
    </row>
    <row r="446" spans="7:12">
      <c r="G446" s="6"/>
      <c r="H446" s="6"/>
      <c r="I446" s="6"/>
      <c r="J446" s="6"/>
      <c r="K446" s="6"/>
      <c r="L446" s="6"/>
    </row>
    <row r="447" spans="7:12">
      <c r="G447" s="6"/>
      <c r="H447" s="6"/>
      <c r="I447" s="6"/>
      <c r="J447" s="6"/>
      <c r="K447" s="6"/>
      <c r="L447" s="6"/>
    </row>
    <row r="448" spans="7:12">
      <c r="G448" s="6"/>
      <c r="H448" s="6"/>
      <c r="I448" s="6"/>
      <c r="J448" s="6"/>
      <c r="K448" s="6"/>
      <c r="L448" s="6"/>
    </row>
    <row r="449" spans="7:12">
      <c r="G449" s="6"/>
      <c r="H449" s="6"/>
      <c r="I449" s="6"/>
      <c r="J449" s="6"/>
      <c r="K449" s="6"/>
      <c r="L449" s="6"/>
    </row>
    <row r="450" spans="7:12">
      <c r="G450" s="6"/>
      <c r="H450" s="6"/>
      <c r="I450" s="6"/>
      <c r="J450" s="6"/>
      <c r="K450" s="6"/>
      <c r="L450" s="6"/>
    </row>
    <row r="451" spans="7:12">
      <c r="G451" s="6"/>
      <c r="H451" s="6"/>
      <c r="I451" s="6"/>
      <c r="J451" s="6"/>
      <c r="K451" s="6"/>
      <c r="L451" s="6"/>
    </row>
    <row r="452" spans="7:12">
      <c r="G452" s="6"/>
      <c r="H452" s="6"/>
      <c r="I452" s="6"/>
      <c r="J452" s="6"/>
      <c r="K452" s="6"/>
      <c r="L452" s="6"/>
    </row>
    <row r="453" spans="7:12">
      <c r="G453" s="6"/>
      <c r="H453" s="6"/>
      <c r="I453" s="6"/>
      <c r="J453" s="6"/>
      <c r="K453" s="6"/>
      <c r="L453" s="6"/>
    </row>
    <row r="454" spans="7:12">
      <c r="G454" s="6"/>
      <c r="H454" s="6"/>
      <c r="I454" s="6"/>
      <c r="J454" s="6"/>
      <c r="K454" s="6"/>
      <c r="L454" s="6"/>
    </row>
    <row r="455" spans="7:12">
      <c r="G455" s="6"/>
      <c r="H455" s="6"/>
      <c r="I455" s="6"/>
      <c r="J455" s="6"/>
      <c r="K455" s="6"/>
      <c r="L455" s="6"/>
    </row>
    <row r="456" spans="7:12">
      <c r="G456" s="6"/>
      <c r="H456" s="6"/>
      <c r="I456" s="6"/>
      <c r="J456" s="6"/>
      <c r="K456" s="6"/>
      <c r="L456" s="6"/>
    </row>
    <row r="457" spans="7:12">
      <c r="G457" s="6"/>
      <c r="H457" s="6"/>
      <c r="I457" s="6"/>
      <c r="J457" s="6"/>
      <c r="K457" s="6"/>
      <c r="L457" s="6"/>
    </row>
    <row r="458" spans="7:12">
      <c r="G458" s="6"/>
      <c r="H458" s="6"/>
      <c r="I458" s="6"/>
      <c r="J458" s="6"/>
      <c r="K458" s="6"/>
      <c r="L458" s="6"/>
    </row>
    <row r="459" spans="7:12">
      <c r="G459" s="6"/>
      <c r="H459" s="6"/>
      <c r="I459" s="6"/>
      <c r="J459" s="6"/>
      <c r="K459" s="6"/>
      <c r="L459" s="6"/>
    </row>
    <row r="460" spans="7:12">
      <c r="G460" s="6"/>
      <c r="H460" s="6"/>
      <c r="I460" s="6"/>
      <c r="J460" s="6"/>
      <c r="K460" s="6"/>
      <c r="L460" s="6"/>
    </row>
    <row r="461" spans="7:12">
      <c r="G461" s="6"/>
      <c r="H461" s="6"/>
      <c r="I461" s="6"/>
      <c r="J461" s="6"/>
      <c r="K461" s="6"/>
      <c r="L461" s="6"/>
    </row>
    <row r="462" spans="7:12">
      <c r="G462" s="6"/>
      <c r="H462" s="6"/>
      <c r="I462" s="6"/>
      <c r="J462" s="6"/>
      <c r="K462" s="6"/>
      <c r="L462" s="6"/>
    </row>
    <row r="463" spans="7:12">
      <c r="G463" s="6"/>
      <c r="H463" s="6"/>
      <c r="I463" s="6"/>
      <c r="J463" s="6"/>
      <c r="K463" s="6"/>
      <c r="L463" s="6"/>
    </row>
    <row r="464" spans="7:12">
      <c r="G464" s="6"/>
      <c r="H464" s="6"/>
      <c r="I464" s="6"/>
      <c r="J464" s="6"/>
      <c r="K464" s="6"/>
      <c r="L464" s="6"/>
    </row>
    <row r="465" spans="7:12">
      <c r="G465" s="6"/>
      <c r="H465" s="6"/>
      <c r="I465" s="6"/>
      <c r="J465" s="6"/>
      <c r="K465" s="6"/>
      <c r="L465" s="6"/>
    </row>
    <row r="466" spans="7:12">
      <c r="G466" s="6"/>
      <c r="H466" s="6"/>
      <c r="I466" s="6"/>
      <c r="J466" s="6"/>
      <c r="K466" s="6"/>
      <c r="L466" s="6"/>
    </row>
    <row r="467" spans="7:12">
      <c r="G467" s="6"/>
      <c r="H467" s="6"/>
      <c r="I467" s="6"/>
      <c r="J467" s="6"/>
      <c r="K467" s="6"/>
      <c r="L467" s="6"/>
    </row>
    <row r="468" spans="7:12">
      <c r="G468" s="6"/>
      <c r="H468" s="6"/>
      <c r="I468" s="6"/>
      <c r="J468" s="6"/>
      <c r="K468" s="6"/>
      <c r="L468" s="6"/>
    </row>
    <row r="469" spans="7:12">
      <c r="G469" s="6"/>
      <c r="H469" s="6"/>
      <c r="I469" s="6"/>
      <c r="J469" s="6"/>
      <c r="K469" s="6"/>
      <c r="L469" s="6"/>
    </row>
    <row r="470" spans="7:12">
      <c r="G470" s="6"/>
      <c r="H470" s="6"/>
      <c r="I470" s="6"/>
      <c r="J470" s="6"/>
      <c r="K470" s="6"/>
      <c r="L470" s="6"/>
    </row>
    <row r="471" spans="7:12">
      <c r="G471" s="6"/>
      <c r="H471" s="6"/>
      <c r="I471" s="6"/>
      <c r="J471" s="6"/>
      <c r="K471" s="6"/>
      <c r="L471" s="6"/>
    </row>
    <row r="472" spans="7:12">
      <c r="G472" s="6"/>
      <c r="H472" s="6"/>
      <c r="I472" s="6"/>
      <c r="J472" s="6"/>
      <c r="K472" s="6"/>
      <c r="L472" s="6"/>
    </row>
    <row r="473" spans="7:12">
      <c r="G473" s="6"/>
      <c r="H473" s="6"/>
      <c r="I473" s="6"/>
      <c r="J473" s="6"/>
      <c r="K473" s="6"/>
      <c r="L473" s="6"/>
    </row>
    <row r="474" spans="7:12">
      <c r="G474" s="6"/>
      <c r="H474" s="6"/>
      <c r="I474" s="6"/>
      <c r="J474" s="6"/>
      <c r="K474" s="6"/>
      <c r="L474" s="6"/>
    </row>
    <row r="475" spans="7:12">
      <c r="G475" s="6"/>
      <c r="H475" s="6"/>
      <c r="I475" s="6"/>
      <c r="J475" s="6"/>
      <c r="K475" s="6"/>
      <c r="L475" s="6"/>
    </row>
    <row r="476" spans="7:12">
      <c r="G476" s="6"/>
      <c r="H476" s="6"/>
      <c r="I476" s="6"/>
      <c r="J476" s="6"/>
      <c r="K476" s="6"/>
      <c r="L476" s="6"/>
    </row>
    <row r="477" spans="7:12">
      <c r="G477" s="6"/>
      <c r="H477" s="6"/>
      <c r="I477" s="6"/>
      <c r="J477" s="6"/>
      <c r="K477" s="6"/>
      <c r="L477" s="6"/>
    </row>
    <row r="478" spans="7:12">
      <c r="G478" s="6"/>
      <c r="H478" s="6"/>
      <c r="I478" s="6"/>
      <c r="J478" s="6"/>
      <c r="K478" s="6"/>
      <c r="L478" s="6"/>
    </row>
    <row r="479" spans="7:12">
      <c r="G479" s="6"/>
      <c r="H479" s="6"/>
      <c r="I479" s="6"/>
      <c r="J479" s="6"/>
      <c r="K479" s="6"/>
      <c r="L479" s="6"/>
    </row>
    <row r="480" spans="7:12">
      <c r="G480" s="6"/>
      <c r="H480" s="6"/>
      <c r="I480" s="6"/>
      <c r="J480" s="6"/>
      <c r="K480" s="6"/>
      <c r="L480" s="6"/>
    </row>
    <row r="481" spans="7:12">
      <c r="G481" s="6"/>
      <c r="H481" s="6"/>
      <c r="I481" s="6"/>
      <c r="J481" s="6"/>
      <c r="K481" s="6"/>
      <c r="L481" s="6"/>
    </row>
    <row r="482" spans="7:12">
      <c r="G482" s="6"/>
      <c r="H482" s="6"/>
      <c r="I482" s="6"/>
      <c r="J482" s="6"/>
      <c r="K482" s="6"/>
      <c r="L482" s="6"/>
    </row>
    <row r="483" spans="7:12">
      <c r="G483" s="6"/>
      <c r="H483" s="6"/>
      <c r="I483" s="6"/>
      <c r="J483" s="6"/>
      <c r="K483" s="6"/>
      <c r="L483" s="6"/>
    </row>
    <row r="484" spans="7:12">
      <c r="G484" s="6"/>
      <c r="H484" s="6"/>
      <c r="I484" s="6"/>
      <c r="J484" s="6"/>
      <c r="K484" s="6"/>
      <c r="L484" s="6"/>
    </row>
    <row r="485" spans="7:12">
      <c r="G485" s="6"/>
      <c r="H485" s="6"/>
      <c r="I485" s="6"/>
      <c r="J485" s="6"/>
      <c r="K485" s="6"/>
      <c r="L485" s="6"/>
    </row>
    <row r="486" spans="7:12">
      <c r="G486" s="6"/>
      <c r="H486" s="6"/>
      <c r="I486" s="6"/>
      <c r="J486" s="6"/>
      <c r="K486" s="6"/>
      <c r="L486" s="6"/>
    </row>
    <row r="487" spans="7:12">
      <c r="G487" s="6"/>
      <c r="H487" s="6"/>
      <c r="I487" s="6"/>
      <c r="J487" s="6"/>
      <c r="K487" s="6"/>
      <c r="L487" s="6"/>
    </row>
    <row r="488" spans="7:12">
      <c r="G488" s="6"/>
      <c r="H488" s="6"/>
      <c r="I488" s="6"/>
      <c r="J488" s="6"/>
      <c r="K488" s="6"/>
      <c r="L488" s="6"/>
    </row>
    <row r="489" spans="7:12">
      <c r="G489" s="6"/>
      <c r="H489" s="6"/>
      <c r="I489" s="6"/>
      <c r="J489" s="6"/>
      <c r="K489" s="6"/>
      <c r="L489" s="6"/>
    </row>
    <row r="490" spans="7:12">
      <c r="G490" s="6"/>
      <c r="H490" s="6"/>
      <c r="I490" s="6"/>
      <c r="J490" s="6"/>
      <c r="K490" s="6"/>
      <c r="L490" s="6"/>
    </row>
    <row r="491" spans="7:12">
      <c r="G491" s="6"/>
      <c r="H491" s="6"/>
      <c r="I491" s="6"/>
      <c r="J491" s="6"/>
      <c r="K491" s="6"/>
      <c r="L491" s="6"/>
    </row>
    <row r="492" spans="7:12">
      <c r="G492" s="6"/>
      <c r="H492" s="6"/>
      <c r="I492" s="6"/>
      <c r="J492" s="6"/>
      <c r="K492" s="6"/>
      <c r="L492" s="6"/>
    </row>
    <row r="493" spans="7:12">
      <c r="G493" s="6"/>
      <c r="H493" s="6"/>
      <c r="I493" s="6"/>
      <c r="J493" s="6"/>
      <c r="K493" s="6"/>
      <c r="L493" s="6"/>
    </row>
    <row r="494" spans="7:12">
      <c r="G494" s="6"/>
      <c r="H494" s="6"/>
      <c r="I494" s="6"/>
      <c r="J494" s="6"/>
      <c r="K494" s="6"/>
      <c r="L494" s="6"/>
    </row>
    <row r="495" spans="7:12">
      <c r="G495" s="6"/>
      <c r="H495" s="6"/>
      <c r="I495" s="6"/>
      <c r="J495" s="6"/>
      <c r="K495" s="6"/>
      <c r="L495" s="6"/>
    </row>
    <row r="496" spans="7:12">
      <c r="G496" s="6"/>
      <c r="H496" s="6"/>
      <c r="I496" s="6"/>
      <c r="J496" s="6"/>
      <c r="K496" s="6"/>
      <c r="L496" s="6"/>
    </row>
  </sheetData>
  <mergeCells count="10">
    <mergeCell ref="H48:I48"/>
    <mergeCell ref="H70:M70"/>
    <mergeCell ref="I71:M71"/>
    <mergeCell ref="H88:M88"/>
    <mergeCell ref="I89:M89"/>
    <mergeCell ref="G89:G90"/>
    <mergeCell ref="G73:G77"/>
    <mergeCell ref="H79:M79"/>
    <mergeCell ref="I80:M80"/>
    <mergeCell ref="G82:G8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B9DE8-3F30-44D9-8FA5-31571B70FD29}">
  <sheetPr>
    <tabColor theme="6" tint="-0.249977111117893"/>
  </sheetPr>
  <dimension ref="A1:G10"/>
  <sheetViews>
    <sheetView workbookViewId="0">
      <selection activeCell="F18" sqref="F18"/>
    </sheetView>
  </sheetViews>
  <sheetFormatPr defaultRowHeight="14.25"/>
  <cols>
    <col min="1" max="1" width="4.140625" customWidth="1"/>
    <col min="2" max="2" width="6.140625" customWidth="1"/>
  </cols>
  <sheetData>
    <row r="1" spans="1:7" ht="23.25">
      <c r="A1" s="1" t="s">
        <v>176</v>
      </c>
    </row>
    <row r="3" spans="1:7">
      <c r="B3" s="101" t="s">
        <v>163</v>
      </c>
      <c r="C3" s="95"/>
      <c r="D3" s="95"/>
      <c r="E3" s="95"/>
      <c r="F3" s="95"/>
      <c r="G3" s="96"/>
    </row>
    <row r="4" spans="1:7">
      <c r="C4" s="102" t="s">
        <v>164</v>
      </c>
      <c r="D4" s="97"/>
      <c r="E4" s="97"/>
      <c r="F4" s="97"/>
      <c r="G4" s="98"/>
    </row>
    <row r="5" spans="1:7">
      <c r="B5">
        <f ca="1">price.perp</f>
        <v>13.653565667679155</v>
      </c>
      <c r="C5" s="52" cm="1">
        <f t="array" ref="C5:G5">_xlfn.SEQUENCE(1,5,2%,0.25%)</f>
        <v>0.02</v>
      </c>
      <c r="D5" s="53">
        <v>2.2499999999999999E-2</v>
      </c>
      <c r="E5" s="53">
        <v>2.4999999999999998E-2</v>
      </c>
      <c r="F5" s="53">
        <v>2.7499999999999997E-2</v>
      </c>
      <c r="G5" s="54">
        <v>2.9999999999999995E-2</v>
      </c>
    </row>
    <row r="6" spans="1:7" ht="15" customHeight="1">
      <c r="A6" s="91" t="s">
        <v>165</v>
      </c>
      <c r="B6" s="63" cm="1">
        <f t="array" ref="B6:B10">_xlfn.SEQUENCE(5,1,7.5%,1.5%)</f>
        <v>7.4999999999999997E-2</v>
      </c>
      <c r="C6" s="55"/>
      <c r="D6" s="56"/>
      <c r="E6" s="56"/>
      <c r="F6" s="56"/>
      <c r="G6" s="57"/>
    </row>
    <row r="7" spans="1:7">
      <c r="A7" s="92"/>
      <c r="B7" s="64">
        <v>0.09</v>
      </c>
      <c r="C7" s="58"/>
      <c r="G7" s="59"/>
    </row>
    <row r="8" spans="1:7">
      <c r="A8" s="92"/>
      <c r="B8" s="64">
        <v>0.105</v>
      </c>
      <c r="C8" s="58"/>
      <c r="G8" s="59"/>
    </row>
    <row r="9" spans="1:7">
      <c r="A9" s="92"/>
      <c r="B9" s="64">
        <v>0.12</v>
      </c>
      <c r="C9" s="58"/>
      <c r="G9" s="59"/>
    </row>
    <row r="10" spans="1:7">
      <c r="A10" s="93"/>
      <c r="B10" s="65">
        <v>0.13500000000000001</v>
      </c>
      <c r="C10" s="60"/>
      <c r="D10" s="61"/>
      <c r="E10" s="61"/>
      <c r="F10" s="61"/>
      <c r="G10" s="62"/>
    </row>
  </sheetData>
  <mergeCells count="3">
    <mergeCell ref="A6:A10"/>
    <mergeCell ref="B3:G3"/>
    <mergeCell ref="C4:G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CCB4D-DF59-4178-AEFE-B75A968C801F}">
  <sheetPr>
    <tabColor theme="4" tint="-0.249977111117893"/>
  </sheetPr>
  <dimension ref="A1:O21"/>
  <sheetViews>
    <sheetView workbookViewId="0">
      <selection activeCell="N5" sqref="N5"/>
    </sheetView>
  </sheetViews>
  <sheetFormatPr defaultRowHeight="14.25"/>
  <cols>
    <col min="1" max="5" width="2.28515625" customWidth="1"/>
    <col min="6" max="6" width="18.85546875" customWidth="1"/>
  </cols>
  <sheetData>
    <row r="1" spans="1:15" ht="23.25">
      <c r="A1" s="1" t="s">
        <v>177</v>
      </c>
    </row>
    <row r="2" spans="1:15">
      <c r="C2" t="s">
        <v>178</v>
      </c>
      <c r="G2" s="8">
        <v>2025</v>
      </c>
      <c r="H2" s="8">
        <v>2026</v>
      </c>
      <c r="I2" s="8">
        <v>2027</v>
      </c>
      <c r="J2" s="36" cm="1">
        <f t="array" ref="J2:N2">_xlfn.SEQUENCE(1,5,I2+1)</f>
        <v>2028</v>
      </c>
      <c r="K2" s="36">
        <v>2029</v>
      </c>
      <c r="L2" s="36">
        <v>2030</v>
      </c>
      <c r="M2" s="36">
        <v>2031</v>
      </c>
      <c r="N2" s="36">
        <v>2032</v>
      </c>
      <c r="O2" s="36"/>
    </row>
    <row r="3" spans="1:15">
      <c r="C3" t="s">
        <v>179</v>
      </c>
      <c r="G3" s="6">
        <v>750</v>
      </c>
      <c r="H3" s="6">
        <v>750</v>
      </c>
      <c r="I3" s="6">
        <v>750</v>
      </c>
      <c r="J3" s="6">
        <v>750</v>
      </c>
      <c r="K3" s="15">
        <f>+J3</f>
        <v>750</v>
      </c>
      <c r="L3" s="15">
        <f t="shared" ref="L3:N3" si="0">+K3</f>
        <v>750</v>
      </c>
      <c r="M3" s="15">
        <f t="shared" si="0"/>
        <v>750</v>
      </c>
      <c r="N3" s="15">
        <f t="shared" si="0"/>
        <v>750</v>
      </c>
      <c r="O3" s="15">
        <f t="shared" ref="O3" si="1">+N3</f>
        <v>750</v>
      </c>
    </row>
    <row r="4" spans="1:15">
      <c r="C4" t="s">
        <v>180</v>
      </c>
      <c r="G4" s="6">
        <v>3250</v>
      </c>
      <c r="H4" s="6">
        <v>3000</v>
      </c>
      <c r="I4" s="6">
        <v>2800</v>
      </c>
      <c r="J4" s="6">
        <v>2500</v>
      </c>
      <c r="K4" s="15">
        <f>+J4-250</f>
        <v>2250</v>
      </c>
      <c r="L4" s="15">
        <f t="shared" ref="L4:M4" si="2">+K4-250</f>
        <v>2000</v>
      </c>
      <c r="M4" s="15">
        <f t="shared" si="2"/>
        <v>1750</v>
      </c>
      <c r="N4" s="15">
        <f>+M4-250</f>
        <v>1500</v>
      </c>
      <c r="O4" s="15">
        <f t="shared" ref="O4" si="3">+N4-250</f>
        <v>1250</v>
      </c>
    </row>
    <row r="5" spans="1:15">
      <c r="C5" t="s">
        <v>181</v>
      </c>
      <c r="G5" s="6">
        <v>2500</v>
      </c>
      <c r="H5" s="6">
        <v>2500</v>
      </c>
      <c r="I5" s="6">
        <v>2000</v>
      </c>
      <c r="J5" s="6">
        <v>2000</v>
      </c>
      <c r="K5" s="15">
        <f>+J5</f>
        <v>2000</v>
      </c>
      <c r="L5" s="15">
        <f t="shared" ref="L5:N5" si="4">+K5</f>
        <v>2000</v>
      </c>
      <c r="M5" s="15">
        <f t="shared" si="4"/>
        <v>2000</v>
      </c>
      <c r="N5" s="15">
        <f t="shared" si="4"/>
        <v>2000</v>
      </c>
      <c r="O5" s="15">
        <f t="shared" ref="O5" si="5">+N5</f>
        <v>2000</v>
      </c>
    </row>
    <row r="6" spans="1:15">
      <c r="C6" t="s">
        <v>182</v>
      </c>
      <c r="G6" s="6">
        <v>0</v>
      </c>
      <c r="H6" s="6">
        <f>+G6</f>
        <v>0</v>
      </c>
      <c r="I6" s="6">
        <f t="shared" ref="I6:J6" si="6">+H6</f>
        <v>0</v>
      </c>
      <c r="J6" s="6">
        <f t="shared" si="6"/>
        <v>0</v>
      </c>
      <c r="K6" s="6">
        <v>0</v>
      </c>
      <c r="L6" s="6">
        <v>0</v>
      </c>
      <c r="M6" s="6">
        <v>0</v>
      </c>
      <c r="N6" s="6">
        <v>0</v>
      </c>
      <c r="O6" s="6">
        <v>0</v>
      </c>
    </row>
    <row r="7" spans="1:15">
      <c r="C7" t="s">
        <v>182</v>
      </c>
      <c r="G7" s="6">
        <v>0</v>
      </c>
      <c r="H7" s="6">
        <f>+G7</f>
        <v>0</v>
      </c>
      <c r="I7" s="6">
        <f t="shared" ref="I7:J7" si="7">+H7</f>
        <v>0</v>
      </c>
      <c r="J7" s="6">
        <f t="shared" si="7"/>
        <v>0</v>
      </c>
      <c r="K7" s="6">
        <v>0</v>
      </c>
      <c r="L7" s="6">
        <v>0</v>
      </c>
      <c r="M7" s="6">
        <v>0</v>
      </c>
      <c r="N7" s="6">
        <v>0</v>
      </c>
      <c r="O7" s="6">
        <v>0</v>
      </c>
    </row>
    <row r="8" spans="1:15">
      <c r="B8" t="s">
        <v>183</v>
      </c>
      <c r="G8" s="16">
        <f>SUM(G3:G7)</f>
        <v>6500</v>
      </c>
      <c r="H8" s="16">
        <f t="shared" ref="H8:J8" si="8">SUM(H3:H7)</f>
        <v>6250</v>
      </c>
      <c r="I8" s="16">
        <f t="shared" si="8"/>
        <v>5550</v>
      </c>
      <c r="J8" s="16">
        <f t="shared" si="8"/>
        <v>5250</v>
      </c>
      <c r="K8" s="18">
        <f>SUM(K3:K7)</f>
        <v>5000</v>
      </c>
      <c r="L8" s="18">
        <f t="shared" ref="L8:O8" si="9">SUM(L3:L7)</f>
        <v>4750</v>
      </c>
      <c r="M8" s="18">
        <f t="shared" si="9"/>
        <v>4500</v>
      </c>
      <c r="N8" s="18">
        <f t="shared" si="9"/>
        <v>4250</v>
      </c>
      <c r="O8" s="18">
        <f t="shared" si="9"/>
        <v>4000</v>
      </c>
    </row>
    <row r="10" spans="1:15">
      <c r="B10" t="s">
        <v>184</v>
      </c>
    </row>
    <row r="11" spans="1:15">
      <c r="C11" t="s">
        <v>185</v>
      </c>
      <c r="G11" s="15">
        <f>+G8-H8</f>
        <v>250</v>
      </c>
      <c r="H11" s="15">
        <f t="shared" ref="H11:I11" si="10">+H8-I8</f>
        <v>700</v>
      </c>
      <c r="I11" s="15">
        <f t="shared" si="10"/>
        <v>300</v>
      </c>
      <c r="J11" s="15">
        <f t="shared" ref="J11" si="11">+J8-K8</f>
        <v>250</v>
      </c>
      <c r="K11" s="15">
        <f t="shared" ref="K11" si="12">+K8-L8</f>
        <v>250</v>
      </c>
      <c r="L11" s="15">
        <f t="shared" ref="L11" si="13">+L8-M8</f>
        <v>250</v>
      </c>
      <c r="M11" s="15">
        <f t="shared" ref="M11" si="14">+M8-N8</f>
        <v>250</v>
      </c>
      <c r="N11" s="15">
        <f t="shared" ref="N11" si="15">+N8-O8</f>
        <v>250</v>
      </c>
      <c r="O11" s="15"/>
    </row>
    <row r="12" spans="1:15">
      <c r="C12" t="s">
        <v>186</v>
      </c>
      <c r="G12" s="15">
        <f>+G8-G11</f>
        <v>6250</v>
      </c>
      <c r="H12" s="15">
        <f t="shared" ref="H12:I12" si="16">+H8-H11</f>
        <v>5550</v>
      </c>
      <c r="I12" s="15">
        <f t="shared" si="16"/>
        <v>5250</v>
      </c>
      <c r="J12" s="15">
        <f t="shared" ref="J12:N12" si="17">+J8-J11</f>
        <v>5000</v>
      </c>
      <c r="K12" s="15">
        <f t="shared" si="17"/>
        <v>4750</v>
      </c>
      <c r="L12" s="15">
        <f t="shared" si="17"/>
        <v>4500</v>
      </c>
      <c r="M12" s="15">
        <f t="shared" si="17"/>
        <v>4250</v>
      </c>
      <c r="N12" s="15">
        <f t="shared" si="17"/>
        <v>4000</v>
      </c>
      <c r="O12" s="15"/>
    </row>
    <row r="14" spans="1:15">
      <c r="B14" t="s">
        <v>187</v>
      </c>
    </row>
    <row r="15" spans="1:15">
      <c r="C15" t="str" cm="1">
        <f t="array" ref="C15:C19">+C3:C7</f>
        <v>Hunington Revolver</v>
      </c>
      <c r="G15" s="32">
        <v>7.4999999999999997E-2</v>
      </c>
      <c r="H15" s="32">
        <v>7.5999999999999998E-2</v>
      </c>
      <c r="I15" s="32">
        <v>7.6499999999999999E-2</v>
      </c>
      <c r="J15" s="39">
        <f>+I15</f>
        <v>7.6499999999999999E-2</v>
      </c>
      <c r="K15" s="39">
        <f t="shared" ref="K15:N15" si="18">+J15</f>
        <v>7.6499999999999999E-2</v>
      </c>
      <c r="L15" s="39">
        <f t="shared" si="18"/>
        <v>7.6499999999999999E-2</v>
      </c>
      <c r="M15" s="39">
        <f t="shared" si="18"/>
        <v>7.6499999999999999E-2</v>
      </c>
      <c r="N15" s="39">
        <f t="shared" si="18"/>
        <v>7.6499999999999999E-2</v>
      </c>
    </row>
    <row r="16" spans="1:15">
      <c r="C16" t="str">
        <v>PNC Term Loan</v>
      </c>
      <c r="G16" s="32">
        <v>5.7500000000000002E-2</v>
      </c>
      <c r="H16" s="32">
        <v>5.7500000000000002E-2</v>
      </c>
      <c r="I16" s="32">
        <v>5.7500000000000002E-2</v>
      </c>
      <c r="J16" s="39">
        <f t="shared" ref="J16:N19" si="19">+I16</f>
        <v>5.7500000000000002E-2</v>
      </c>
      <c r="K16" s="39">
        <f t="shared" si="19"/>
        <v>5.7500000000000002E-2</v>
      </c>
      <c r="L16" s="39">
        <f t="shared" si="19"/>
        <v>5.7500000000000002E-2</v>
      </c>
      <c r="M16" s="39">
        <f t="shared" si="19"/>
        <v>5.7500000000000002E-2</v>
      </c>
      <c r="N16" s="39">
        <f t="shared" si="19"/>
        <v>5.7500000000000002E-2</v>
      </c>
    </row>
    <row r="17" spans="2:14">
      <c r="C17" t="str">
        <v>Key Bank Term Loan</v>
      </c>
      <c r="G17" s="32">
        <v>4.4999999999999998E-2</v>
      </c>
      <c r="H17" s="32">
        <v>5.5E-2</v>
      </c>
      <c r="I17" s="32">
        <v>6.5000000000000002E-2</v>
      </c>
      <c r="J17" s="39">
        <f t="shared" si="19"/>
        <v>6.5000000000000002E-2</v>
      </c>
      <c r="K17" s="39">
        <f t="shared" si="19"/>
        <v>6.5000000000000002E-2</v>
      </c>
      <c r="L17" s="39">
        <f t="shared" si="19"/>
        <v>6.5000000000000002E-2</v>
      </c>
      <c r="M17" s="39">
        <f t="shared" si="19"/>
        <v>6.5000000000000002E-2</v>
      </c>
      <c r="N17" s="39">
        <f t="shared" si="19"/>
        <v>6.5000000000000002E-2</v>
      </c>
    </row>
    <row r="18" spans="2:14">
      <c r="C18" t="str">
        <v>tbd</v>
      </c>
      <c r="G18" s="31">
        <v>9.99</v>
      </c>
      <c r="H18" s="31">
        <v>9.99</v>
      </c>
      <c r="I18" s="31">
        <v>9.99</v>
      </c>
      <c r="J18" s="39">
        <f t="shared" si="19"/>
        <v>9.99</v>
      </c>
      <c r="K18" s="39">
        <f t="shared" si="19"/>
        <v>9.99</v>
      </c>
      <c r="L18" s="39">
        <f t="shared" si="19"/>
        <v>9.99</v>
      </c>
      <c r="M18" s="39">
        <f t="shared" si="19"/>
        <v>9.99</v>
      </c>
      <c r="N18" s="39">
        <f t="shared" si="19"/>
        <v>9.99</v>
      </c>
    </row>
    <row r="19" spans="2:14">
      <c r="C19" t="str">
        <v>tbd</v>
      </c>
      <c r="G19" s="31">
        <v>9.99</v>
      </c>
      <c r="H19" s="31">
        <v>9.99</v>
      </c>
      <c r="I19" s="31">
        <v>9.99</v>
      </c>
      <c r="J19" s="39">
        <f t="shared" si="19"/>
        <v>9.99</v>
      </c>
      <c r="K19" s="39">
        <f t="shared" si="19"/>
        <v>9.99</v>
      </c>
      <c r="L19" s="39">
        <f t="shared" si="19"/>
        <v>9.99</v>
      </c>
      <c r="M19" s="39">
        <f t="shared" si="19"/>
        <v>9.99</v>
      </c>
      <c r="N19" s="39">
        <f t="shared" si="19"/>
        <v>9.99</v>
      </c>
    </row>
    <row r="21" spans="2:14">
      <c r="B21" t="s">
        <v>45</v>
      </c>
      <c r="G21" s="6" cm="1">
        <f t="array" ref="G21">SUMPRODUCT(G3:G7*G15:G19)</f>
        <v>355.625</v>
      </c>
      <c r="H21" s="6" cm="1">
        <f t="array" ref="H21">SUMPRODUCT(H3:H7*H15:H19)</f>
        <v>367</v>
      </c>
      <c r="I21" s="6" cm="1">
        <f t="array" ref="I21">SUMPRODUCT(I3:I7*I15:I19)</f>
        <v>348.375</v>
      </c>
      <c r="J21" s="6" cm="1">
        <f t="array" ref="J21">SUMPRODUCT(J3:J7*J15:J19)</f>
        <v>331.125</v>
      </c>
      <c r="K21" s="6" cm="1">
        <f t="array" ref="K21">SUMPRODUCT(K3:K7*K15:K19)</f>
        <v>316.75</v>
      </c>
      <c r="L21" s="6" cm="1">
        <f t="array" ref="L21">SUMPRODUCT(L3:L7*L15:L19)</f>
        <v>302.375</v>
      </c>
      <c r="M21" s="6" cm="1">
        <f t="array" ref="M21">SUMPRODUCT(M3:M7*M15:M19)</f>
        <v>288</v>
      </c>
      <c r="N21" s="6" cm="1">
        <f t="array" ref="N21">SUMPRODUCT(N3:N7*N15:N19)</f>
        <v>273.625</v>
      </c>
    </row>
  </sheetData>
  <pageMargins left="0.7" right="0.7" top="0.75" bottom="0.75" header="0.3" footer="0.3"/>
  <ignoredErrors>
    <ignoredError sqref="G8 G21" formulaRange="1"/>
    <ignoredError sqref="K4:M4 O4"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5937BB97E5C143960521C7F44B4A85" ma:contentTypeVersion="14" ma:contentTypeDescription="Create a new document." ma:contentTypeScope="" ma:versionID="6fe4c8e0fe9ef3fbf1d7e2127750e0f5">
  <xsd:schema xmlns:xsd="http://www.w3.org/2001/XMLSchema" xmlns:xs="http://www.w3.org/2001/XMLSchema" xmlns:p="http://schemas.microsoft.com/office/2006/metadata/properties" xmlns:ns3="a8f94143-44b4-4c83-b690-2b7178485ce5" xmlns:ns4="f8c0a479-5081-4d06-9222-9419e65ae994" targetNamespace="http://schemas.microsoft.com/office/2006/metadata/properties" ma:root="true" ma:fieldsID="60e00235bf38a598dd5e4e9f4c58b66e" ns3:_="" ns4:_="">
    <xsd:import namespace="a8f94143-44b4-4c83-b690-2b7178485ce5"/>
    <xsd:import namespace="f8c0a479-5081-4d06-9222-9419e65ae994"/>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f94143-44b4-4c83-b690-2b7178485c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8c0a479-5081-4d06-9222-9419e65ae99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a8f94143-44b4-4c83-b690-2b7178485ce5" xsi:nil="true"/>
  </documentManagement>
</p:properties>
</file>

<file path=customXml/itemProps1.xml><?xml version="1.0" encoding="utf-8"?>
<ds:datastoreItem xmlns:ds="http://schemas.openxmlformats.org/officeDocument/2006/customXml" ds:itemID="{47C29A92-42D1-4130-A266-46EEF12D073E}"/>
</file>

<file path=customXml/itemProps2.xml><?xml version="1.0" encoding="utf-8"?>
<ds:datastoreItem xmlns:ds="http://schemas.openxmlformats.org/officeDocument/2006/customXml" ds:itemID="{3FCD3F6B-4118-403D-854B-BE469A74F247}"/>
</file>

<file path=customXml/itemProps3.xml><?xml version="1.0" encoding="utf-8"?>
<ds:datastoreItem xmlns:ds="http://schemas.openxmlformats.org/officeDocument/2006/customXml" ds:itemID="{AE4E686A-BA2D-4673-951E-E778998BA27C}"/>
</file>

<file path=docProps/app.xml><?xml version="1.0" encoding="utf-8"?>
<Properties xmlns="http://schemas.openxmlformats.org/officeDocument/2006/extended-properties" xmlns:vt="http://schemas.openxmlformats.org/officeDocument/2006/docPropsVTypes">
  <Application>Microsoft Excel Online</Application>
  <Manager/>
  <Company>Kent State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Sage, Lauren</dc:creator>
  <cp:keywords/>
  <dc:description/>
  <cp:lastModifiedBy/>
  <cp:revision/>
  <dcterms:created xsi:type="dcterms:W3CDTF">2026-08-26T19:52:49Z</dcterms:created>
  <dcterms:modified xsi:type="dcterms:W3CDTF">2026-10-18T16:06:17Z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0x010100FD5937BB97E5C143960521C7F44B4A85</vt:lpwstr>
  </property>
</Properties>
</file>