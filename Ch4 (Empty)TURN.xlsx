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suprod-my.sharepoint.com/personal/lsage_kent_edu/Documents/"/>
    </mc:Choice>
  </mc:AlternateContent>
  <xr:revisionPtr revIDLastSave="0" documentId="8_{3DEEC35A-9CED-4285-894E-700E194B8C79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Prob 1" sheetId="2" r:id="rId1"/>
  </sheets>
  <definedNames>
    <definedName name="Cumulative_Net_Interest">#REF!</definedName>
    <definedName name="First_Month_Collections">#REF!</definedName>
    <definedName name="Max_Borrowing_Need">#REF!</definedName>
    <definedName name="Maximum_Borrowing_Need">#REF!</definedName>
    <definedName name="Revenue_Adjustment">#REF!</definedName>
    <definedName name="Sales_Adjustment">#REF!</definedName>
    <definedName name="Total_Interest_Co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D56" i="2"/>
  <c r="D55" i="2"/>
  <c r="D54" i="2"/>
  <c r="D58" i="2"/>
  <c r="E52" i="2"/>
  <c r="D52" i="2"/>
  <c r="C52" i="2"/>
  <c r="D33" i="2"/>
  <c r="D34" i="2"/>
  <c r="C37" i="2"/>
  <c r="C39" i="2"/>
  <c r="C36" i="2"/>
  <c r="C35" i="2"/>
  <c r="C33" i="2"/>
  <c r="C50" i="2"/>
  <c r="C31" i="2"/>
  <c r="H21" i="2"/>
  <c r="G21" i="2"/>
  <c r="F21" i="2"/>
  <c r="D21" i="2"/>
  <c r="C21" i="2"/>
  <c r="C17" i="2"/>
  <c r="C6" i="2"/>
  <c r="C9" i="2"/>
  <c r="C10" i="2" s="1"/>
  <c r="D6" i="2" s="1"/>
  <c r="D9" i="2" s="1"/>
  <c r="D10" i="2" s="1"/>
  <c r="E6" i="2" s="1"/>
  <c r="E9" i="2" s="1"/>
  <c r="E10" i="2" s="1"/>
  <c r="F6" i="2" s="1"/>
  <c r="F9" i="2" s="1"/>
  <c r="F10" i="2" s="1"/>
  <c r="G6" i="2" s="1"/>
  <c r="G9" i="2" s="1"/>
  <c r="G10" i="2" s="1"/>
  <c r="H6" i="2" s="1"/>
  <c r="H9" i="2" s="1"/>
  <c r="H10" i="2" s="1"/>
  <c r="C20" i="2"/>
  <c r="C22" i="2" s="1"/>
  <c r="D17" i="2" s="1"/>
  <c r="D20" i="2" s="1"/>
  <c r="C5" i="2"/>
  <c r="D5" i="2" s="1"/>
  <c r="E5" i="2" s="1"/>
  <c r="F5" i="2" s="1"/>
  <c r="G5" i="2" s="1"/>
  <c r="H5" i="2" s="1"/>
  <c r="C54" i="2" l="1"/>
  <c r="D36" i="2"/>
  <c r="D39" i="2" s="1"/>
  <c r="D31" i="2"/>
  <c r="D22" i="2"/>
  <c r="E17" i="2" s="1"/>
  <c r="A4" i="2"/>
  <c r="D37" i="2" l="1"/>
  <c r="C55" i="2"/>
  <c r="C58" i="2" s="1"/>
  <c r="E33" i="2"/>
  <c r="E20" i="2"/>
  <c r="E21" i="2"/>
  <c r="B61" i="2"/>
  <c r="B62" i="2" s="1"/>
  <c r="B60" i="2"/>
  <c r="B56" i="2"/>
  <c r="D53" i="2"/>
  <c r="E53" i="2"/>
  <c r="F53" i="2"/>
  <c r="G53" i="2"/>
  <c r="H53" i="2"/>
  <c r="C53" i="2"/>
  <c r="D51" i="2"/>
  <c r="E51" i="2"/>
  <c r="F51" i="2"/>
  <c r="G51" i="2"/>
  <c r="H51" i="2"/>
  <c r="C51" i="2"/>
  <c r="B41" i="2"/>
  <c r="B37" i="2"/>
  <c r="E34" i="2"/>
  <c r="F34" i="2"/>
  <c r="G34" i="2"/>
  <c r="H34" i="2"/>
  <c r="C34" i="2"/>
  <c r="H32" i="2"/>
  <c r="D32" i="2"/>
  <c r="E32" i="2"/>
  <c r="F32" i="2"/>
  <c r="G32" i="2"/>
  <c r="C32" i="2"/>
  <c r="D18" i="2"/>
  <c r="E18" i="2"/>
  <c r="F18" i="2"/>
  <c r="G18" i="2"/>
  <c r="H18" i="2"/>
  <c r="D19" i="2"/>
  <c r="E19" i="2"/>
  <c r="F19" i="2"/>
  <c r="G19" i="2"/>
  <c r="H19" i="2"/>
  <c r="C19" i="2"/>
  <c r="C18" i="2"/>
  <c r="B22" i="2"/>
  <c r="B43" i="2"/>
  <c r="B49" i="2"/>
  <c r="B30" i="2"/>
  <c r="B16" i="2"/>
  <c r="A47" i="2"/>
  <c r="A46" i="2"/>
  <c r="A28" i="2"/>
  <c r="A27" i="2"/>
  <c r="A14" i="2"/>
  <c r="A13" i="2"/>
  <c r="C56" i="2" l="1"/>
  <c r="D50" i="2" s="1"/>
  <c r="E50" i="2" s="1"/>
  <c r="E54" i="2" s="1"/>
  <c r="E31" i="2"/>
  <c r="E35" i="2" s="1"/>
  <c r="E36" i="2" s="1"/>
  <c r="E22" i="2"/>
  <c r="F17" i="2" s="1"/>
  <c r="F20" i="2" s="1"/>
  <c r="F22" i="2" s="1"/>
  <c r="G17" i="2" s="1"/>
  <c r="G20" i="2" s="1"/>
  <c r="G22" i="2" s="1"/>
  <c r="H17" i="2" s="1"/>
  <c r="H20" i="2" s="1"/>
  <c r="H22" i="2" s="1"/>
  <c r="C30" i="2"/>
  <c r="C16" i="2"/>
  <c r="C49" i="2"/>
  <c r="E16" i="2"/>
  <c r="D30" i="2"/>
  <c r="D16" i="2"/>
  <c r="D49" i="2"/>
  <c r="E55" i="2" l="1"/>
  <c r="E56" i="2" s="1"/>
  <c r="F50" i="2" s="1"/>
  <c r="E39" i="2"/>
  <c r="F33" i="2" s="1"/>
  <c r="E37" i="2"/>
  <c r="F16" i="2"/>
  <c r="E49" i="2"/>
  <c r="E30" i="2"/>
  <c r="F52" i="2" l="1"/>
  <c r="E58" i="2"/>
  <c r="F54" i="2"/>
  <c r="F31" i="2"/>
  <c r="F35" i="2" s="1"/>
  <c r="F36" i="2" s="1"/>
  <c r="F49" i="2"/>
  <c r="G30" i="2"/>
  <c r="F30" i="2"/>
  <c r="F55" i="2" l="1"/>
  <c r="G52" i="2" s="1"/>
  <c r="F58" i="2"/>
  <c r="F39" i="2"/>
  <c r="F37" i="2"/>
  <c r="G49" i="2"/>
  <c r="G16" i="2"/>
  <c r="G33" i="2" l="1"/>
  <c r="F56" i="2"/>
  <c r="G50" i="2" s="1"/>
  <c r="G54" i="2"/>
  <c r="G31" i="2"/>
  <c r="G35" i="2" s="1"/>
  <c r="G36" i="2" s="1"/>
  <c r="G39" i="2" s="1"/>
  <c r="H16" i="2"/>
  <c r="H49" i="2"/>
  <c r="H30" i="2"/>
  <c r="A48" i="2"/>
  <c r="A15" i="2"/>
  <c r="A29" i="2"/>
  <c r="H33" i="2" l="1"/>
  <c r="G55" i="2"/>
  <c r="G56" i="2" s="1"/>
  <c r="H50" i="2" s="1"/>
  <c r="G37" i="2"/>
  <c r="H52" i="2" l="1"/>
  <c r="G58" i="2"/>
  <c r="H54" i="2"/>
  <c r="H31" i="2"/>
  <c r="H35" i="2" s="1"/>
  <c r="H36" i="2" s="1"/>
  <c r="H39" i="2" s="1"/>
  <c r="H55" i="2" l="1"/>
  <c r="H56" i="2" s="1"/>
  <c r="H58" i="2"/>
  <c r="H37" i="2"/>
</calcChain>
</file>

<file path=xl/sharedStrings.xml><?xml version="1.0" encoding="utf-8"?>
<sst xmlns="http://schemas.openxmlformats.org/spreadsheetml/2006/main" count="45" uniqueCount="22">
  <si>
    <t>A)</t>
  </si>
  <si>
    <t>Fill the highlighted cells.</t>
    <phoneticPr fontId="3" type="noConversion"/>
  </si>
  <si>
    <t>Durango Mountain Bike Tours</t>
  </si>
  <si>
    <t>Forecasted Ending Cash Balance</t>
  </si>
  <si>
    <t>Requirements:
When you fill the highlighted cells,
1. Use proper reference as much as possible.
2. Use IF function when calculating the columns of "Add: Borrowing"</t>
    <phoneticPr fontId="3" type="noConversion"/>
  </si>
  <si>
    <t>Beginning Cash</t>
  </si>
  <si>
    <t>Add: Collections</t>
  </si>
  <si>
    <t>Less: Payments</t>
  </si>
  <si>
    <t>Unadjusted Cash Balance</t>
  </si>
  <si>
    <t>Ending Cash Balance</t>
  </si>
  <si>
    <t>B)</t>
  </si>
  <si>
    <t>Assuming that firm need to maintain ending balance of at least $12,000. Fill the highlighted cells.</t>
    <phoneticPr fontId="3" type="noConversion"/>
  </si>
  <si>
    <t>Add: Borrowing</t>
  </si>
  <si>
    <t>Minimum Cash</t>
  </si>
  <si>
    <t>C)</t>
  </si>
  <si>
    <t>Assuming that a firm must pay 5% annual interest on its short-term borrowing. Fill the highlighted cells.</t>
    <phoneticPr fontId="3" type="noConversion"/>
  </si>
  <si>
    <t>Less: Short-term Interest</t>
  </si>
  <si>
    <t>Cumulative Borrowing</t>
  </si>
  <si>
    <t>Annual Interest Rate</t>
  </si>
  <si>
    <t>Monthly Interest Rate</t>
  </si>
  <si>
    <t>D)</t>
  </si>
  <si>
    <t>Assuming that the firm uses any cash in excess of the minimun cash balance requirements to pay off its short-term borrowing in each month, Fill the highlighted cells.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</si>
</sst>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mm"/>
  </numFmts>
  <fonts count="7">
    <font>
      <sz val="11"/>
      <name val="Times New Roman"/>
    </font>
    <font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Continuous"/>
    </xf>
    <xf numFmtId="0" fontId="2" fillId="2" borderId="1" xfId="0" applyFont="1" applyFill="1" applyBorder="1"/>
    <xf numFmtId="9" fontId="0" fillId="0" borderId="0" xfId="0" applyNumberFormat="1"/>
    <xf numFmtId="0" fontId="0" fillId="0" borderId="0" xfId="0" applyAlignment="1">
      <alignment horizontal="left" indent="1"/>
    </xf>
    <xf numFmtId="164" fontId="0" fillId="0" borderId="0" xfId="1" applyNumberFormat="1" applyFont="1"/>
    <xf numFmtId="164" fontId="0" fillId="0" borderId="2" xfId="1" applyNumberFormat="1" applyFont="1" applyBorder="1"/>
    <xf numFmtId="164" fontId="0" fillId="0" borderId="3" xfId="1" applyNumberFormat="1" applyFont="1" applyBorder="1"/>
    <xf numFmtId="10" fontId="0" fillId="0" borderId="0" xfId="2" applyNumberFormat="1" applyFont="1"/>
    <xf numFmtId="165" fontId="2" fillId="2" borderId="1" xfId="0" applyNumberFormat="1" applyFont="1" applyFill="1" applyBorder="1" applyAlignment="1">
      <alignment horizontal="center"/>
    </xf>
    <xf numFmtId="164" fontId="0" fillId="3" borderId="0" xfId="0" applyNumberFormat="1" applyFill="1"/>
    <xf numFmtId="164" fontId="0" fillId="3" borderId="0" xfId="1" applyNumberFormat="1" applyFont="1" applyFill="1"/>
    <xf numFmtId="0" fontId="1" fillId="0" borderId="0" xfId="0" applyFont="1"/>
    <xf numFmtId="164" fontId="0" fillId="3" borderId="3" xfId="1" applyNumberFormat="1" applyFont="1" applyFill="1" applyBorder="1"/>
    <xf numFmtId="164" fontId="0" fillId="3" borderId="2" xfId="1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X1000"/>
  <sheetViews>
    <sheetView tabSelected="1" topLeftCell="B25" zoomScale="104" zoomScaleNormal="100" workbookViewId="0">
      <selection activeCell="D35" sqref="D35"/>
    </sheetView>
  </sheetViews>
  <sheetFormatPr defaultRowHeight="14.1"/>
  <cols>
    <col min="1" max="1" width="24.140625" bestFit="1" customWidth="1"/>
    <col min="2" max="8" width="11.28515625" customWidth="1"/>
  </cols>
  <sheetData>
    <row r="1" spans="1:15">
      <c r="A1" s="15" t="s">
        <v>0</v>
      </c>
      <c r="B1" s="16" t="s">
        <v>1</v>
      </c>
    </row>
    <row r="2" spans="1:15">
      <c r="A2" s="1" t="s">
        <v>2</v>
      </c>
      <c r="B2" s="1"/>
      <c r="C2" s="1"/>
      <c r="D2" s="1"/>
      <c r="E2" s="1"/>
      <c r="F2" s="1"/>
      <c r="G2" s="1"/>
      <c r="H2" s="1"/>
    </row>
    <row r="3" spans="1:15">
      <c r="A3" s="1" t="s">
        <v>3</v>
      </c>
      <c r="B3" s="1"/>
      <c r="C3" s="1"/>
      <c r="D3" s="1"/>
      <c r="E3" s="1"/>
      <c r="F3" s="1"/>
      <c r="G3" s="1"/>
      <c r="H3" s="1"/>
    </row>
    <row r="4" spans="1:15" ht="14.45" thickBot="1">
      <c r="A4" s="1" t="str">
        <f>TEXT(C5,"mmmm yyyy")&amp;" to "&amp;TEXT(H5,"mmmm yyyy")</f>
        <v>January 2021 to June 2021</v>
      </c>
      <c r="B4" s="1"/>
      <c r="C4" s="1"/>
      <c r="D4" s="1"/>
      <c r="E4" s="1"/>
      <c r="F4" s="1"/>
      <c r="G4" s="1"/>
      <c r="H4" s="1"/>
    </row>
    <row r="5" spans="1:15" ht="14.45" thickBot="1">
      <c r="A5" s="2"/>
      <c r="B5" s="9">
        <v>44196</v>
      </c>
      <c r="C5" s="9">
        <f>EOMONTH(B5,1)</f>
        <v>44227</v>
      </c>
      <c r="D5" s="9">
        <f t="shared" ref="D5:H5" si="0">EOMONTH(C5,1)</f>
        <v>44255</v>
      </c>
      <c r="E5" s="9">
        <f t="shared" si="0"/>
        <v>44286</v>
      </c>
      <c r="F5" s="9">
        <f t="shared" si="0"/>
        <v>44316</v>
      </c>
      <c r="G5" s="9">
        <f t="shared" si="0"/>
        <v>44347</v>
      </c>
      <c r="H5" s="9">
        <f t="shared" si="0"/>
        <v>44377</v>
      </c>
      <c r="K5" s="18" t="s">
        <v>4</v>
      </c>
      <c r="L5" s="19"/>
      <c r="M5" s="19"/>
      <c r="N5" s="19"/>
      <c r="O5" s="19"/>
    </row>
    <row r="6" spans="1:15">
      <c r="A6" t="s">
        <v>5</v>
      </c>
      <c r="B6" s="5"/>
      <c r="C6" s="11">
        <f>B10</f>
        <v>10000</v>
      </c>
      <c r="D6" s="11">
        <f>C10</f>
        <v>6738</v>
      </c>
      <c r="E6" s="11">
        <f>D10</f>
        <v>2519</v>
      </c>
      <c r="F6" s="11">
        <f>E10</f>
        <v>4994</v>
      </c>
      <c r="G6" s="11">
        <f>F10</f>
        <v>18494</v>
      </c>
      <c r="H6" s="11">
        <f>G10</f>
        <v>38069</v>
      </c>
      <c r="K6" s="19"/>
      <c r="L6" s="19"/>
      <c r="M6" s="19"/>
      <c r="N6" s="19"/>
      <c r="O6" s="19"/>
    </row>
    <row r="7" spans="1:15">
      <c r="A7" s="4" t="s">
        <v>6</v>
      </c>
      <c r="B7" s="5"/>
      <c r="C7" s="5">
        <v>18563</v>
      </c>
      <c r="D7" s="5">
        <v>30881</v>
      </c>
      <c r="E7" s="5">
        <v>51075</v>
      </c>
      <c r="F7" s="5">
        <v>81844</v>
      </c>
      <c r="G7" s="5">
        <v>109688</v>
      </c>
      <c r="H7" s="5">
        <v>141750</v>
      </c>
      <c r="K7" s="19"/>
      <c r="L7" s="19"/>
      <c r="M7" s="19"/>
      <c r="N7" s="19"/>
      <c r="O7" s="19"/>
    </row>
    <row r="8" spans="1:15">
      <c r="A8" s="4" t="s">
        <v>7</v>
      </c>
      <c r="B8" s="6"/>
      <c r="C8" s="6">
        <v>21825</v>
      </c>
      <c r="D8" s="6">
        <v>35100</v>
      </c>
      <c r="E8" s="6">
        <v>48600</v>
      </c>
      <c r="F8" s="6">
        <v>68344</v>
      </c>
      <c r="G8" s="6">
        <v>90113</v>
      </c>
      <c r="H8" s="6">
        <v>107100</v>
      </c>
      <c r="K8" s="19"/>
      <c r="L8" s="19"/>
      <c r="M8" s="19"/>
      <c r="N8" s="19"/>
      <c r="O8" s="19"/>
    </row>
    <row r="9" spans="1:15">
      <c r="A9" t="s">
        <v>8</v>
      </c>
      <c r="B9" s="5"/>
      <c r="C9" s="11">
        <f t="shared" ref="C9:H9" si="1">C6+C7-C8</f>
        <v>6738</v>
      </c>
      <c r="D9" s="11">
        <f t="shared" si="1"/>
        <v>2519</v>
      </c>
      <c r="E9" s="11">
        <f t="shared" si="1"/>
        <v>4994</v>
      </c>
      <c r="F9" s="11">
        <f t="shared" si="1"/>
        <v>18494</v>
      </c>
      <c r="G9" s="11">
        <f t="shared" si="1"/>
        <v>38069</v>
      </c>
      <c r="H9" s="11">
        <f t="shared" si="1"/>
        <v>72719</v>
      </c>
      <c r="K9" s="19"/>
      <c r="L9" s="19"/>
      <c r="M9" s="19"/>
      <c r="N9" s="19"/>
      <c r="O9" s="19"/>
    </row>
    <row r="10" spans="1:15">
      <c r="A10" t="s">
        <v>9</v>
      </c>
      <c r="B10" s="5">
        <v>10000</v>
      </c>
      <c r="C10" s="11">
        <f t="shared" ref="C10:H10" si="2">C9</f>
        <v>6738</v>
      </c>
      <c r="D10" s="11">
        <f t="shared" si="2"/>
        <v>2519</v>
      </c>
      <c r="E10" s="11">
        <f t="shared" si="2"/>
        <v>4994</v>
      </c>
      <c r="F10" s="11">
        <f t="shared" si="2"/>
        <v>18494</v>
      </c>
      <c r="G10" s="11">
        <f t="shared" si="2"/>
        <v>38069</v>
      </c>
      <c r="H10" s="11">
        <f t="shared" si="2"/>
        <v>72719</v>
      </c>
      <c r="K10" s="19"/>
      <c r="L10" s="19"/>
      <c r="M10" s="19"/>
      <c r="N10" s="19"/>
      <c r="O10" s="19"/>
    </row>
    <row r="11" spans="1:15">
      <c r="K11" s="19"/>
      <c r="L11" s="19"/>
      <c r="M11" s="19"/>
      <c r="N11" s="19"/>
      <c r="O11" s="19"/>
    </row>
    <row r="12" spans="1:15">
      <c r="A12" s="15" t="s">
        <v>10</v>
      </c>
      <c r="B12" s="16" t="s">
        <v>11</v>
      </c>
      <c r="K12" s="19"/>
      <c r="L12" s="19"/>
      <c r="M12" s="19"/>
      <c r="N12" s="19"/>
      <c r="O12" s="19"/>
    </row>
    <row r="13" spans="1:15">
      <c r="A13" s="1" t="str">
        <f>A2</f>
        <v>Durango Mountain Bike Tours</v>
      </c>
      <c r="B13" s="1"/>
      <c r="C13" s="1"/>
      <c r="D13" s="1"/>
      <c r="E13" s="1"/>
      <c r="F13" s="1"/>
      <c r="G13" s="1"/>
      <c r="H13" s="1"/>
      <c r="K13" s="19"/>
      <c r="L13" s="19"/>
      <c r="M13" s="19"/>
      <c r="N13" s="19"/>
      <c r="O13" s="19"/>
    </row>
    <row r="14" spans="1:15">
      <c r="A14" s="1" t="str">
        <f>A3</f>
        <v>Forecasted Ending Cash Balance</v>
      </c>
      <c r="B14" s="1"/>
      <c r="C14" s="1"/>
      <c r="D14" s="1"/>
      <c r="E14" s="1"/>
      <c r="F14" s="1"/>
      <c r="G14" s="1"/>
      <c r="H14" s="1"/>
      <c r="K14" s="19"/>
      <c r="L14" s="19"/>
      <c r="M14" s="19"/>
      <c r="N14" s="19"/>
      <c r="O14" s="19"/>
    </row>
    <row r="15" spans="1:15" ht="14.45" thickBot="1">
      <c r="A15" s="1" t="str">
        <f>A4</f>
        <v>January 2021 to June 2021</v>
      </c>
      <c r="B15" s="1"/>
      <c r="C15" s="1"/>
      <c r="D15" s="1"/>
      <c r="E15" s="1"/>
      <c r="F15" s="1"/>
      <c r="G15" s="1"/>
      <c r="H15" s="1"/>
    </row>
    <row r="16" spans="1:15" ht="14.45" thickBot="1">
      <c r="A16" s="2"/>
      <c r="B16" s="9">
        <f>B5</f>
        <v>44196</v>
      </c>
      <c r="C16" s="9">
        <f t="shared" ref="C16:H16" si="3">C5</f>
        <v>44227</v>
      </c>
      <c r="D16" s="9">
        <f t="shared" si="3"/>
        <v>44255</v>
      </c>
      <c r="E16" s="9">
        <f t="shared" si="3"/>
        <v>44286</v>
      </c>
      <c r="F16" s="9">
        <f t="shared" si="3"/>
        <v>44316</v>
      </c>
      <c r="G16" s="9">
        <f t="shared" si="3"/>
        <v>44347</v>
      </c>
      <c r="H16" s="9">
        <f t="shared" si="3"/>
        <v>44377</v>
      </c>
    </row>
    <row r="17" spans="1:9">
      <c r="A17" t="s">
        <v>5</v>
      </c>
      <c r="B17" s="5"/>
      <c r="C17" s="11">
        <f>B22</f>
        <v>10000</v>
      </c>
      <c r="D17" s="11">
        <f>C22</f>
        <v>5476</v>
      </c>
      <c r="E17" s="11">
        <f>D22</f>
        <v>1257</v>
      </c>
      <c r="F17" s="11">
        <f>E22</f>
        <v>3732</v>
      </c>
      <c r="G17" s="11">
        <f>F22</f>
        <v>17232</v>
      </c>
      <c r="H17" s="11">
        <f>G22</f>
        <v>36807</v>
      </c>
    </row>
    <row r="18" spans="1:9">
      <c r="A18" s="4" t="s">
        <v>6</v>
      </c>
      <c r="B18" s="5"/>
      <c r="C18" s="5">
        <f>C7</f>
        <v>18563</v>
      </c>
      <c r="D18" s="5">
        <f t="shared" ref="D18:H18" si="4">D7</f>
        <v>30881</v>
      </c>
      <c r="E18" s="5">
        <f t="shared" si="4"/>
        <v>51075</v>
      </c>
      <c r="F18" s="5">
        <f t="shared" si="4"/>
        <v>81844</v>
      </c>
      <c r="G18" s="5">
        <f t="shared" si="4"/>
        <v>109688</v>
      </c>
      <c r="H18" s="5">
        <f t="shared" si="4"/>
        <v>141750</v>
      </c>
    </row>
    <row r="19" spans="1:9">
      <c r="A19" s="4" t="s">
        <v>7</v>
      </c>
      <c r="B19" s="6"/>
      <c r="C19" s="6">
        <f>C8</f>
        <v>21825</v>
      </c>
      <c r="D19" s="6">
        <f t="shared" ref="D19:H19" si="5">D8</f>
        <v>35100</v>
      </c>
      <c r="E19" s="6">
        <f t="shared" si="5"/>
        <v>48600</v>
      </c>
      <c r="F19" s="6">
        <f t="shared" si="5"/>
        <v>68344</v>
      </c>
      <c r="G19" s="6">
        <f t="shared" si="5"/>
        <v>90113</v>
      </c>
      <c r="H19" s="6">
        <f t="shared" si="5"/>
        <v>107100</v>
      </c>
    </row>
    <row r="20" spans="1:9">
      <c r="A20" t="s">
        <v>8</v>
      </c>
      <c r="B20" s="5"/>
      <c r="C20" s="11">
        <f t="shared" ref="C20:H20" si="6">C17+C18-C19</f>
        <v>6738</v>
      </c>
      <c r="D20" s="11">
        <f t="shared" si="6"/>
        <v>1257</v>
      </c>
      <c r="E20" s="11">
        <f t="shared" si="6"/>
        <v>3732</v>
      </c>
      <c r="F20" s="11">
        <f t="shared" si="6"/>
        <v>17232</v>
      </c>
      <c r="G20" s="11">
        <f t="shared" si="6"/>
        <v>36807</v>
      </c>
      <c r="H20" s="11">
        <f t="shared" si="6"/>
        <v>71457</v>
      </c>
    </row>
    <row r="21" spans="1:9">
      <c r="A21" s="4" t="s">
        <v>12</v>
      </c>
      <c r="B21" s="5"/>
      <c r="C21" s="11">
        <f>IF(C17+C18-C19&lt;12000,12000-C17+C18-C19,0)</f>
        <v>-1262</v>
      </c>
      <c r="D21" s="11">
        <f>IF(D17+D18-D19&gt;8738,8738-D17+D18-D19,0)</f>
        <v>0</v>
      </c>
      <c r="E21" s="11">
        <f>IF(E17+E18-E19&gt;17624,17624-E17+E18-E19,0)</f>
        <v>0</v>
      </c>
      <c r="F21" s="11">
        <f>IF(F17+F18-F19&gt;48600,48600-F17+F18-F19,0)</f>
        <v>0</v>
      </c>
      <c r="G21" s="11">
        <f>IF(G17+G18-G19&gt;68344,68344-G17+G18-G19,0)</f>
        <v>0</v>
      </c>
      <c r="H21" s="11">
        <f>IF(H17+H18-H19&gt;90113,90113-H17+H18-H19,0)</f>
        <v>0</v>
      </c>
      <c r="I21" s="12"/>
    </row>
    <row r="22" spans="1:9">
      <c r="A22" t="s">
        <v>9</v>
      </c>
      <c r="B22" s="5">
        <f>B10</f>
        <v>10000</v>
      </c>
      <c r="C22" s="11">
        <f t="shared" ref="C22:H22" si="7">C20+C21</f>
        <v>5476</v>
      </c>
      <c r="D22" s="11">
        <f t="shared" si="7"/>
        <v>1257</v>
      </c>
      <c r="E22" s="11">
        <f t="shared" si="7"/>
        <v>3732</v>
      </c>
      <c r="F22" s="11">
        <f t="shared" si="7"/>
        <v>17232</v>
      </c>
      <c r="G22" s="11">
        <f t="shared" si="7"/>
        <v>36807</v>
      </c>
      <c r="H22" s="11">
        <f t="shared" si="7"/>
        <v>71457</v>
      </c>
    </row>
    <row r="24" spans="1:9">
      <c r="A24" t="s">
        <v>13</v>
      </c>
      <c r="B24" s="5">
        <v>12000</v>
      </c>
    </row>
    <row r="26" spans="1:9">
      <c r="A26" s="15" t="s">
        <v>14</v>
      </c>
      <c r="B26" s="16" t="s">
        <v>15</v>
      </c>
    </row>
    <row r="27" spans="1:9">
      <c r="A27" s="1" t="str">
        <f>A2</f>
        <v>Durango Mountain Bike Tours</v>
      </c>
      <c r="B27" s="1"/>
      <c r="C27" s="1"/>
      <c r="D27" s="1"/>
      <c r="E27" s="1"/>
      <c r="F27" s="1"/>
      <c r="G27" s="1"/>
      <c r="H27" s="1"/>
    </row>
    <row r="28" spans="1:9">
      <c r="A28" s="1" t="str">
        <f>A3</f>
        <v>Forecasted Ending Cash Balance</v>
      </c>
      <c r="B28" s="1"/>
      <c r="C28" s="1"/>
      <c r="D28" s="1"/>
      <c r="E28" s="1"/>
      <c r="F28" s="1"/>
      <c r="G28" s="1"/>
      <c r="H28" s="1"/>
    </row>
    <row r="29" spans="1:9" ht="14.45" thickBot="1">
      <c r="A29" s="1" t="str">
        <f>A4</f>
        <v>January 2021 to June 2021</v>
      </c>
      <c r="B29" s="1"/>
      <c r="C29" s="1"/>
      <c r="D29" s="1"/>
      <c r="E29" s="1"/>
      <c r="F29" s="1"/>
      <c r="G29" s="1"/>
      <c r="H29" s="1"/>
    </row>
    <row r="30" spans="1:9" ht="14.45" thickBot="1">
      <c r="A30" s="2"/>
      <c r="B30" s="9">
        <f>B5</f>
        <v>44196</v>
      </c>
      <c r="C30" s="9">
        <f t="shared" ref="C30:H30" si="8">C5</f>
        <v>44227</v>
      </c>
      <c r="D30" s="9">
        <f t="shared" si="8"/>
        <v>44255</v>
      </c>
      <c r="E30" s="9">
        <f t="shared" si="8"/>
        <v>44286</v>
      </c>
      <c r="F30" s="9">
        <f t="shared" si="8"/>
        <v>44316</v>
      </c>
      <c r="G30" s="9">
        <f t="shared" si="8"/>
        <v>44347</v>
      </c>
      <c r="H30" s="9">
        <f t="shared" si="8"/>
        <v>44377</v>
      </c>
    </row>
    <row r="31" spans="1:9">
      <c r="A31" t="s">
        <v>5</v>
      </c>
      <c r="B31" s="5"/>
      <c r="C31" s="11">
        <f>B37</f>
        <v>10000</v>
      </c>
      <c r="D31" s="11">
        <f>C37</f>
        <v>6738</v>
      </c>
      <c r="E31" s="11">
        <f>D37</f>
        <v>12000</v>
      </c>
      <c r="F31" s="11">
        <f>E37</f>
        <v>14435.495833333334</v>
      </c>
      <c r="G31" s="11">
        <f>F37</f>
        <v>27895.991666666669</v>
      </c>
      <c r="H31" s="11">
        <f>G37</f>
        <v>47431.487499999988</v>
      </c>
    </row>
    <row r="32" spans="1:9">
      <c r="A32" s="4" t="s">
        <v>6</v>
      </c>
      <c r="B32" s="5"/>
      <c r="C32" s="5">
        <f>C7</f>
        <v>18563</v>
      </c>
      <c r="D32" s="5">
        <f t="shared" ref="D32:G32" si="9">D7</f>
        <v>30881</v>
      </c>
      <c r="E32" s="5">
        <f t="shared" si="9"/>
        <v>51075</v>
      </c>
      <c r="F32" s="5">
        <f t="shared" si="9"/>
        <v>81844</v>
      </c>
      <c r="G32" s="5">
        <f t="shared" si="9"/>
        <v>109688</v>
      </c>
      <c r="H32" s="5">
        <f>H7</f>
        <v>141750</v>
      </c>
    </row>
    <row r="33" spans="1:8">
      <c r="A33" s="4" t="s">
        <v>16</v>
      </c>
      <c r="B33" s="5"/>
      <c r="C33" s="11">
        <f>B33</f>
        <v>0</v>
      </c>
      <c r="D33" s="11">
        <f>B43*C39</f>
        <v>0</v>
      </c>
      <c r="E33" s="11">
        <f>B43*D39</f>
        <v>39.504166666666663</v>
      </c>
      <c r="F33" s="11">
        <f>B43*E39</f>
        <v>39.504166666666663</v>
      </c>
      <c r="G33" s="11">
        <f>B43*F39</f>
        <v>39.504166666666663</v>
      </c>
      <c r="H33" s="11">
        <f>B43*G39</f>
        <v>39.504166666666663</v>
      </c>
    </row>
    <row r="34" spans="1:8">
      <c r="A34" s="4" t="s">
        <v>7</v>
      </c>
      <c r="B34" s="6"/>
      <c r="C34" s="6">
        <f>C8</f>
        <v>21825</v>
      </c>
      <c r="D34" s="6">
        <f t="shared" ref="D34:H34" si="10">D8</f>
        <v>35100</v>
      </c>
      <c r="E34" s="6">
        <f t="shared" si="10"/>
        <v>48600</v>
      </c>
      <c r="F34" s="6">
        <f t="shared" si="10"/>
        <v>68344</v>
      </c>
      <c r="G34" s="6">
        <f t="shared" si="10"/>
        <v>90113</v>
      </c>
      <c r="H34" s="6">
        <f t="shared" si="10"/>
        <v>107100</v>
      </c>
    </row>
    <row r="35" spans="1:8">
      <c r="A35" t="s">
        <v>8</v>
      </c>
      <c r="B35" s="5"/>
      <c r="C35" s="11">
        <f>C31+C32-C33-C34</f>
        <v>6738</v>
      </c>
      <c r="D35" s="11">
        <f>D31+D32-D34</f>
        <v>2519</v>
      </c>
      <c r="E35" s="11">
        <f>E31+E32-E33-E34</f>
        <v>14435.495833333334</v>
      </c>
      <c r="F35" s="11">
        <f>F31+F32-F33-F34</f>
        <v>27895.991666666669</v>
      </c>
      <c r="G35" s="11">
        <f>G31+G32-G33-G34</f>
        <v>47431.487499999988</v>
      </c>
      <c r="H35" s="11">
        <f>H31+H32-H33-H34</f>
        <v>82041.983333333308</v>
      </c>
    </row>
    <row r="36" spans="1:8">
      <c r="A36" s="4" t="s">
        <v>12</v>
      </c>
      <c r="B36" s="6"/>
      <c r="C36" s="11">
        <f>IF(C31+C32-C33&lt;12000,12000-C31+C32-C33,0)</f>
        <v>0</v>
      </c>
      <c r="D36" s="11">
        <f>IF(D35&lt;12000,12000-D35,0)</f>
        <v>9481</v>
      </c>
      <c r="E36" s="11">
        <f>IF(E35&lt;12000,0,0)</f>
        <v>0</v>
      </c>
      <c r="F36" s="11">
        <f>IF(F35&lt;12000,0,0)</f>
        <v>0</v>
      </c>
      <c r="G36" s="11">
        <f>IF(G35&lt;12000,0,0)</f>
        <v>0</v>
      </c>
      <c r="H36" s="11">
        <f>IF(H35&lt;12000,0,0)</f>
        <v>0</v>
      </c>
    </row>
    <row r="37" spans="1:8" ht="14.45" thickBot="1">
      <c r="A37" t="s">
        <v>9</v>
      </c>
      <c r="B37" s="7">
        <f>B10</f>
        <v>10000</v>
      </c>
      <c r="C37" s="13">
        <f>C35+C36</f>
        <v>6738</v>
      </c>
      <c r="D37" s="13">
        <f>D35+D36</f>
        <v>12000</v>
      </c>
      <c r="E37" s="13">
        <f>E35+E36</f>
        <v>14435.495833333334</v>
      </c>
      <c r="F37" s="13">
        <f>F35+F36</f>
        <v>27895.991666666669</v>
      </c>
      <c r="G37" s="13">
        <f>G35+G36</f>
        <v>47431.487499999988</v>
      </c>
      <c r="H37" s="13">
        <f>H35+H36</f>
        <v>82041.983333333308</v>
      </c>
    </row>
    <row r="38" spans="1:8" ht="14.45" thickTop="1"/>
    <row r="39" spans="1:8">
      <c r="A39" t="s">
        <v>17</v>
      </c>
      <c r="C39" s="10">
        <f>C33+C36</f>
        <v>0</v>
      </c>
      <c r="D39" s="10">
        <f>C39+D36</f>
        <v>9481</v>
      </c>
      <c r="E39" s="10">
        <f>D39+E36</f>
        <v>9481</v>
      </c>
      <c r="F39" s="10">
        <f>E39+F36</f>
        <v>9481</v>
      </c>
      <c r="G39" s="10">
        <f>F39+G36</f>
        <v>9481</v>
      </c>
      <c r="H39" s="10">
        <f>G39+H36</f>
        <v>9481</v>
      </c>
    </row>
    <row r="41" spans="1:8">
      <c r="A41" t="s">
        <v>13</v>
      </c>
      <c r="B41" s="5">
        <f>B24</f>
        <v>12000</v>
      </c>
    </row>
    <row r="42" spans="1:8">
      <c r="A42" t="s">
        <v>18</v>
      </c>
      <c r="B42" s="3">
        <v>0.05</v>
      </c>
    </row>
    <row r="43" spans="1:8">
      <c r="A43" t="s">
        <v>19</v>
      </c>
      <c r="B43" s="8">
        <f>B42/12</f>
        <v>4.1666666666666666E-3</v>
      </c>
    </row>
    <row r="45" spans="1:8">
      <c r="A45" s="15" t="s">
        <v>20</v>
      </c>
      <c r="B45" s="16" t="s">
        <v>21</v>
      </c>
    </row>
    <row r="46" spans="1:8">
      <c r="A46" s="1" t="str">
        <f>A2</f>
        <v>Durango Mountain Bike Tours</v>
      </c>
      <c r="B46" s="1"/>
      <c r="C46" s="1"/>
      <c r="D46" s="1"/>
      <c r="E46" s="1"/>
      <c r="F46" s="1"/>
      <c r="G46" s="1"/>
      <c r="H46" s="1"/>
    </row>
    <row r="47" spans="1:8">
      <c r="A47" s="1" t="str">
        <f>A3</f>
        <v>Forecasted Ending Cash Balance</v>
      </c>
      <c r="B47" s="1"/>
      <c r="C47" s="1"/>
      <c r="D47" s="1"/>
      <c r="E47" s="1"/>
      <c r="F47" s="1"/>
      <c r="G47" s="1"/>
      <c r="H47" s="1"/>
    </row>
    <row r="48" spans="1:8" ht="14.45" thickBot="1">
      <c r="A48" s="1" t="str">
        <f>A4</f>
        <v>January 2021 to June 2021</v>
      </c>
      <c r="B48" s="1"/>
      <c r="C48" s="1"/>
      <c r="D48" s="1"/>
      <c r="E48" s="1"/>
      <c r="F48" s="1"/>
      <c r="G48" s="1"/>
      <c r="H48" s="1"/>
    </row>
    <row r="49" spans="1:8" ht="14.45" thickBot="1">
      <c r="A49" s="2"/>
      <c r="B49" s="9">
        <f>B5</f>
        <v>44196</v>
      </c>
      <c r="C49" s="9">
        <f t="shared" ref="C49:H49" si="11">C5</f>
        <v>44227</v>
      </c>
      <c r="D49" s="9">
        <f t="shared" si="11"/>
        <v>44255</v>
      </c>
      <c r="E49" s="9">
        <f t="shared" si="11"/>
        <v>44286</v>
      </c>
      <c r="F49" s="9">
        <f t="shared" si="11"/>
        <v>44316</v>
      </c>
      <c r="G49" s="9">
        <f t="shared" si="11"/>
        <v>44347</v>
      </c>
      <c r="H49" s="9">
        <f t="shared" si="11"/>
        <v>44377</v>
      </c>
    </row>
    <row r="50" spans="1:8">
      <c r="A50" t="s">
        <v>5</v>
      </c>
      <c r="B50" s="5"/>
      <c r="C50" s="11">
        <f>B56</f>
        <v>10000</v>
      </c>
      <c r="D50" s="11">
        <f>C56</f>
        <v>12000</v>
      </c>
      <c r="E50" s="11">
        <f>D56</f>
        <v>12000</v>
      </c>
      <c r="F50" s="11">
        <f>E56</f>
        <v>14457.329479166663</v>
      </c>
      <c r="G50" s="11">
        <f>F56</f>
        <v>27957.329479166656</v>
      </c>
      <c r="H50" s="11">
        <f>G56</f>
        <v>47532.329479166656</v>
      </c>
    </row>
    <row r="51" spans="1:8">
      <c r="A51" s="4" t="s">
        <v>6</v>
      </c>
      <c r="B51" s="5"/>
      <c r="C51" s="5">
        <f>C7</f>
        <v>18563</v>
      </c>
      <c r="D51" s="5">
        <f t="shared" ref="D51:H51" si="12">D7</f>
        <v>30881</v>
      </c>
      <c r="E51" s="5">
        <f t="shared" si="12"/>
        <v>51075</v>
      </c>
      <c r="F51" s="5">
        <f t="shared" si="12"/>
        <v>81844</v>
      </c>
      <c r="G51" s="5">
        <f t="shared" si="12"/>
        <v>109688</v>
      </c>
      <c r="H51" s="5">
        <f t="shared" si="12"/>
        <v>141750</v>
      </c>
    </row>
    <row r="52" spans="1:8">
      <c r="A52" s="4" t="s">
        <v>16</v>
      </c>
      <c r="B52" s="5"/>
      <c r="C52" s="11">
        <f>B62*B52</f>
        <v>0</v>
      </c>
      <c r="D52" s="11">
        <f>B62*C55</f>
        <v>21.925000000000001</v>
      </c>
      <c r="E52" s="11">
        <f>B62*D55</f>
        <v>17.670520833333345</v>
      </c>
      <c r="F52" s="11">
        <f>B62*E55</f>
        <v>0</v>
      </c>
      <c r="G52" s="11">
        <f>B62*F55</f>
        <v>0</v>
      </c>
      <c r="H52" s="11">
        <f>B62*G55</f>
        <v>0</v>
      </c>
    </row>
    <row r="53" spans="1:8">
      <c r="A53" s="4" t="s">
        <v>7</v>
      </c>
      <c r="B53" s="6"/>
      <c r="C53" s="6">
        <f>C8</f>
        <v>21825</v>
      </c>
      <c r="D53" s="6">
        <f t="shared" ref="D53:H53" si="13">D8</f>
        <v>35100</v>
      </c>
      <c r="E53" s="6">
        <f t="shared" si="13"/>
        <v>48600</v>
      </c>
      <c r="F53" s="6">
        <f t="shared" si="13"/>
        <v>68344</v>
      </c>
      <c r="G53" s="6">
        <f t="shared" si="13"/>
        <v>90113</v>
      </c>
      <c r="H53" s="6">
        <f t="shared" si="13"/>
        <v>107100</v>
      </c>
    </row>
    <row r="54" spans="1:8">
      <c r="A54" t="s">
        <v>8</v>
      </c>
      <c r="B54" s="5"/>
      <c r="C54" s="11">
        <f>C50+C51-C52-C53</f>
        <v>6738</v>
      </c>
      <c r="D54" s="11">
        <f>D51+D50-D52-D53</f>
        <v>7759.0749999999971</v>
      </c>
      <c r="E54" s="11">
        <f>E50+E51-E52-E53</f>
        <v>14457.329479166663</v>
      </c>
      <c r="F54" s="11">
        <f>F50+F51-F52-F53</f>
        <v>27957.329479166656</v>
      </c>
      <c r="G54" s="11">
        <f>G50+G51-G52-G53</f>
        <v>47532.329479166656</v>
      </c>
      <c r="H54" s="11">
        <f>H50+H51-H52-H53</f>
        <v>82182.329479166656</v>
      </c>
    </row>
    <row r="55" spans="1:8">
      <c r="A55" s="4" t="s">
        <v>12</v>
      </c>
      <c r="B55" s="6"/>
      <c r="C55" s="14">
        <f>IF(C54&lt;12000,12000-C54,0)</f>
        <v>5262</v>
      </c>
      <c r="D55" s="14">
        <f t="shared" ref="D55:H55" si="14">IF(D54&lt;12000,12000-D54,0)</f>
        <v>4240.9250000000029</v>
      </c>
      <c r="E55" s="14">
        <f t="shared" si="14"/>
        <v>0</v>
      </c>
      <c r="F55" s="14">
        <f t="shared" si="14"/>
        <v>0</v>
      </c>
      <c r="G55" s="14">
        <f t="shared" si="14"/>
        <v>0</v>
      </c>
      <c r="H55" s="14">
        <f t="shared" si="14"/>
        <v>0</v>
      </c>
    </row>
    <row r="56" spans="1:8" ht="14.45" thickBot="1">
      <c r="A56" t="s">
        <v>9</v>
      </c>
      <c r="B56" s="7">
        <f>B10</f>
        <v>10000</v>
      </c>
      <c r="C56" s="13">
        <f>C54+C55</f>
        <v>12000</v>
      </c>
      <c r="D56" s="13">
        <f t="shared" ref="D56:H56" si="15">D54+D55</f>
        <v>12000</v>
      </c>
      <c r="E56" s="13">
        <f t="shared" si="15"/>
        <v>14457.329479166663</v>
      </c>
      <c r="F56" s="13">
        <f t="shared" si="15"/>
        <v>27957.329479166656</v>
      </c>
      <c r="G56" s="13">
        <f t="shared" si="15"/>
        <v>47532.329479166656</v>
      </c>
      <c r="H56" s="13">
        <f t="shared" si="15"/>
        <v>82182.329479166656</v>
      </c>
    </row>
    <row r="57" spans="1:8" ht="14.45" thickTop="1"/>
    <row r="58" spans="1:8">
      <c r="A58" t="s">
        <v>17</v>
      </c>
      <c r="C58" s="10">
        <f>C52+C55</f>
        <v>5262</v>
      </c>
      <c r="D58" s="10">
        <f t="shared" ref="D58:H58" si="16">D52+D55</f>
        <v>4262.8500000000031</v>
      </c>
      <c r="E58" s="10">
        <f t="shared" si="16"/>
        <v>17.670520833333345</v>
      </c>
      <c r="F58" s="10">
        <f t="shared" si="16"/>
        <v>0</v>
      </c>
      <c r="G58" s="10">
        <f t="shared" si="16"/>
        <v>0</v>
      </c>
      <c r="H58" s="10">
        <f t="shared" si="16"/>
        <v>0</v>
      </c>
    </row>
    <row r="60" spans="1:8">
      <c r="A60" t="s">
        <v>13</v>
      </c>
      <c r="B60" s="5">
        <f>B24</f>
        <v>12000</v>
      </c>
    </row>
    <row r="61" spans="1:8">
      <c r="A61" t="s">
        <v>18</v>
      </c>
      <c r="B61" s="3">
        <f>B42</f>
        <v>0.05</v>
      </c>
    </row>
    <row r="62" spans="1:8">
      <c r="A62" t="s">
        <v>19</v>
      </c>
      <c r="B62" s="8">
        <f>B61/12</f>
        <v>4.1666666666666666E-3</v>
      </c>
    </row>
    <row r="1000" spans="648:648" ht="15.6">
      <c r="XX1000" s="17">
        <v>144968</v>
      </c>
    </row>
  </sheetData>
  <mergeCells count="1">
    <mergeCell ref="K5:O14"/>
  </mergeCells>
  <phoneticPr fontId="3" type="noConversion"/>
  <pageMargins left="0.75" right="0.75" top="1" bottom="1" header="0.5" footer="0.5"/>
  <pageSetup paperSize="9" orientation="portrait" r:id="rId1"/>
  <headerFooter alignWithMargins="0"/>
  <ignoredErrors>
    <ignoredError sqref="C17:H17 C31:H31 G50:H50 C50 E36 D50:F50 E52 D54 D3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937BB97E5C143960521C7F44B4A85" ma:contentTypeVersion="13" ma:contentTypeDescription="Create a new document." ma:contentTypeScope="" ma:versionID="1856ac9ab5da45b22a557ff4c330f95c">
  <xsd:schema xmlns:xsd="http://www.w3.org/2001/XMLSchema" xmlns:xs="http://www.w3.org/2001/XMLSchema" xmlns:p="http://schemas.microsoft.com/office/2006/metadata/properties" xmlns:ns3="a8f94143-44b4-4c83-b690-2b7178485ce5" xmlns:ns4="f8c0a479-5081-4d06-9222-9419e65ae994" targetNamespace="http://schemas.microsoft.com/office/2006/metadata/properties" ma:root="true" ma:fieldsID="3278ba8879f5040fd5d7b474c0e8e28d" ns3:_="" ns4:_="">
    <xsd:import namespace="a8f94143-44b4-4c83-b690-2b7178485ce5"/>
    <xsd:import namespace="f8c0a479-5081-4d06-9222-9419e65ae9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94143-44b4-4c83-b690-2b7178485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0a479-5081-4d06-9222-9419e65ae9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f94143-44b4-4c83-b690-2b7178485ce5" xsi:nil="true"/>
  </documentManagement>
</p:properties>
</file>

<file path=customXml/itemProps1.xml><?xml version="1.0" encoding="utf-8"?>
<ds:datastoreItem xmlns:ds="http://schemas.openxmlformats.org/officeDocument/2006/customXml" ds:itemID="{D65CE484-A133-416D-BE9F-CAFEC841E701}"/>
</file>

<file path=customXml/itemProps2.xml><?xml version="1.0" encoding="utf-8"?>
<ds:datastoreItem xmlns:ds="http://schemas.openxmlformats.org/officeDocument/2006/customXml" ds:itemID="{C07B31D5-D29F-4C7F-A1C6-3D29832A77F4}"/>
</file>

<file path=customXml/itemProps3.xml><?xml version="1.0" encoding="utf-8"?>
<ds:datastoreItem xmlns:ds="http://schemas.openxmlformats.org/officeDocument/2006/customXml" ds:itemID="{9E543F7A-0453-4013-8452-05F8CF375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Mayes Consulting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R. Mayes, Ph.D</dc:creator>
  <cp:keywords/>
  <dc:description/>
  <cp:lastModifiedBy/>
  <cp:revision/>
  <dcterms:created xsi:type="dcterms:W3CDTF">2002-09-22T17:26:31Z</dcterms:created>
  <dcterms:modified xsi:type="dcterms:W3CDTF">2026-10-20T01:34:00Z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0x010100FD5937BB97E5C143960521C7F44B4A85</vt:lpwstr>
  </property>
</Properties>
</file>